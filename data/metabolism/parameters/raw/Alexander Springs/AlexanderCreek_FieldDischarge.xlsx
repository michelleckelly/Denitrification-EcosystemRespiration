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le/GoogleDrive/PhD/Research/Analysis_Chapter1_CAREERProject/CAREER_DataAnalysis/data/metabolism/parameters/raw/"/>
    </mc:Choice>
  </mc:AlternateContent>
  <xr:revisionPtr revIDLastSave="0" documentId="8_{581C2009-6F55-BE48-947B-231D05EABFA3}" xr6:coauthVersionLast="47" xr6:coauthVersionMax="47" xr10:uidLastSave="{00000000-0000-0000-0000-000000000000}"/>
  <bookViews>
    <workbookView xWindow="0" yWindow="3160" windowWidth="24580" windowHeight="20180" xr2:uid="{EB34BC43-EDC7-0548-B424-323D4F9952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2" i="1"/>
  <c r="J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</calcChain>
</file>

<file path=xl/sharedStrings.xml><?xml version="1.0" encoding="utf-8"?>
<sst xmlns="http://schemas.openxmlformats.org/spreadsheetml/2006/main" count="28" uniqueCount="14">
  <si>
    <t>Site</t>
  </si>
  <si>
    <t>Date</t>
  </si>
  <si>
    <t>Transect number</t>
  </si>
  <si>
    <t>Total wetted width (m)</t>
  </si>
  <si>
    <t>Distance from bank (m)</t>
  </si>
  <si>
    <t>Width at point (m)</t>
  </si>
  <si>
    <t>Depth at point (m)</t>
  </si>
  <si>
    <t>Area (m2)</t>
  </si>
  <si>
    <t>Velocity (m/s)</t>
  </si>
  <si>
    <t>Q at point (m3/s)</t>
  </si>
  <si>
    <t>Total transect Q (m3/s)</t>
  </si>
  <si>
    <t>Total Q (L/s)</t>
  </si>
  <si>
    <t>Alexander Springs</t>
  </si>
  <si>
    <t>Depth at point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</si>
</sst>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A5E-6A32-394B-892C-9E28ECBB4E43}">
  <dimension ref="A1:M16"/>
  <sheetViews>
    <sheetView tabSelected="1" workbookViewId="0">
      <selection activeCell="M2" sqref="M2"/>
    </sheetView>
  </sheetViews>
  <sheetFormatPr baseColWidth="10" defaultRowHeight="16" x14ac:dyDescent="0.2"/>
  <cols>
    <col min="1" max="1" width="21.1640625" customWidth="1"/>
  </cols>
  <sheetData>
    <row r="1" spans="1:13" ht="5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13</v>
      </c>
      <c r="G1" s="1" t="s">
        <v>8</v>
      </c>
      <c r="H1" s="1" t="s">
        <v>6</v>
      </c>
      <c r="I1" s="1" t="s">
        <v>5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s="4">
        <v>43253</v>
      </c>
      <c r="C2">
        <v>1</v>
      </c>
      <c r="D2">
        <v>75</v>
      </c>
      <c r="E2">
        <v>5</v>
      </c>
      <c r="F2">
        <v>32</v>
      </c>
      <c r="G2" s="5">
        <v>0.04</v>
      </c>
      <c r="H2" s="5">
        <f>F2/100</f>
        <v>0.32</v>
      </c>
      <c r="I2">
        <v>5</v>
      </c>
      <c r="J2" s="5">
        <f>H2*I2</f>
        <v>1.6</v>
      </c>
      <c r="K2" s="5">
        <f>J2*G2</f>
        <v>6.4000000000000001E-2</v>
      </c>
      <c r="L2" s="5">
        <f>SUM(K2:K16)</f>
        <v>1.9610000000000001</v>
      </c>
      <c r="M2" s="5">
        <f>L2*1000</f>
        <v>1961</v>
      </c>
    </row>
    <row r="3" spans="1:13" x14ac:dyDescent="0.2">
      <c r="A3" t="s">
        <v>12</v>
      </c>
      <c r="B3" s="4">
        <v>43253</v>
      </c>
      <c r="C3">
        <v>1</v>
      </c>
      <c r="D3">
        <v>75</v>
      </c>
      <c r="E3">
        <f>E2+5</f>
        <v>10</v>
      </c>
      <c r="F3">
        <v>54</v>
      </c>
      <c r="G3">
        <v>0.03</v>
      </c>
      <c r="H3" s="5">
        <f t="shared" ref="H3:H16" si="0">F3/100</f>
        <v>0.54</v>
      </c>
      <c r="I3">
        <v>5</v>
      </c>
      <c r="J3" s="5">
        <f t="shared" ref="J3:J16" si="1">H3*I3</f>
        <v>2.7</v>
      </c>
      <c r="K3" s="5">
        <f t="shared" ref="K3:K16" si="2">J3*G3</f>
        <v>8.1000000000000003E-2</v>
      </c>
    </row>
    <row r="4" spans="1:13" x14ac:dyDescent="0.2">
      <c r="A4" t="s">
        <v>12</v>
      </c>
      <c r="B4" s="4">
        <v>43253</v>
      </c>
      <c r="C4">
        <v>1</v>
      </c>
      <c r="D4">
        <v>75</v>
      </c>
      <c r="E4">
        <f t="shared" ref="E4:E16" si="3">E3+5</f>
        <v>15</v>
      </c>
      <c r="F4">
        <v>66</v>
      </c>
      <c r="G4">
        <v>0.01</v>
      </c>
      <c r="H4" s="5">
        <f t="shared" si="0"/>
        <v>0.66</v>
      </c>
      <c r="I4">
        <v>5</v>
      </c>
      <c r="J4" s="5">
        <f t="shared" si="1"/>
        <v>3.3000000000000003</v>
      </c>
      <c r="K4" s="5">
        <f t="shared" si="2"/>
        <v>3.3000000000000002E-2</v>
      </c>
    </row>
    <row r="5" spans="1:13" x14ac:dyDescent="0.2">
      <c r="A5" t="s">
        <v>12</v>
      </c>
      <c r="B5" s="4">
        <v>43253</v>
      </c>
      <c r="C5">
        <v>1</v>
      </c>
      <c r="D5">
        <v>75</v>
      </c>
      <c r="E5">
        <f t="shared" si="3"/>
        <v>20</v>
      </c>
      <c r="F5">
        <v>56</v>
      </c>
      <c r="G5">
        <v>0.02</v>
      </c>
      <c r="H5" s="5">
        <f t="shared" si="0"/>
        <v>0.56000000000000005</v>
      </c>
      <c r="I5">
        <v>5</v>
      </c>
      <c r="J5" s="5">
        <f t="shared" si="1"/>
        <v>2.8000000000000003</v>
      </c>
      <c r="K5" s="5">
        <f t="shared" si="2"/>
        <v>5.6000000000000008E-2</v>
      </c>
    </row>
    <row r="6" spans="1:13" x14ac:dyDescent="0.2">
      <c r="A6" t="s">
        <v>12</v>
      </c>
      <c r="B6" s="4">
        <v>43253</v>
      </c>
      <c r="C6">
        <v>1</v>
      </c>
      <c r="D6">
        <v>75</v>
      </c>
      <c r="E6">
        <f t="shared" si="3"/>
        <v>25</v>
      </c>
      <c r="F6">
        <v>76</v>
      </c>
      <c r="G6">
        <v>0.05</v>
      </c>
      <c r="H6" s="5">
        <f t="shared" si="0"/>
        <v>0.76</v>
      </c>
      <c r="I6">
        <v>5</v>
      </c>
      <c r="J6" s="5">
        <f t="shared" si="1"/>
        <v>3.8</v>
      </c>
      <c r="K6" s="5">
        <f t="shared" si="2"/>
        <v>0.19</v>
      </c>
    </row>
    <row r="7" spans="1:13" x14ac:dyDescent="0.2">
      <c r="A7" t="s">
        <v>12</v>
      </c>
      <c r="B7" s="4">
        <v>43253</v>
      </c>
      <c r="C7">
        <v>1</v>
      </c>
      <c r="D7">
        <v>75</v>
      </c>
      <c r="E7">
        <f t="shared" si="3"/>
        <v>30</v>
      </c>
      <c r="F7">
        <v>62</v>
      </c>
      <c r="G7">
        <v>0.02</v>
      </c>
      <c r="H7" s="5">
        <f t="shared" si="0"/>
        <v>0.62</v>
      </c>
      <c r="I7">
        <v>5</v>
      </c>
      <c r="J7" s="5">
        <f t="shared" si="1"/>
        <v>3.1</v>
      </c>
      <c r="K7" s="5">
        <f t="shared" si="2"/>
        <v>6.2000000000000006E-2</v>
      </c>
    </row>
    <row r="8" spans="1:13" x14ac:dyDescent="0.2">
      <c r="A8" t="s">
        <v>12</v>
      </c>
      <c r="B8" s="4">
        <v>43253</v>
      </c>
      <c r="C8">
        <v>1</v>
      </c>
      <c r="D8">
        <v>75</v>
      </c>
      <c r="E8">
        <f t="shared" si="3"/>
        <v>35</v>
      </c>
      <c r="F8">
        <v>66</v>
      </c>
      <c r="G8">
        <v>0</v>
      </c>
      <c r="H8" s="5">
        <f t="shared" si="0"/>
        <v>0.66</v>
      </c>
      <c r="I8">
        <v>5</v>
      </c>
      <c r="J8" s="5">
        <f t="shared" si="1"/>
        <v>3.3000000000000003</v>
      </c>
      <c r="K8" s="5">
        <f t="shared" si="2"/>
        <v>0</v>
      </c>
    </row>
    <row r="9" spans="1:13" x14ac:dyDescent="0.2">
      <c r="A9" t="s">
        <v>12</v>
      </c>
      <c r="B9" s="4">
        <v>43253</v>
      </c>
      <c r="C9">
        <v>1</v>
      </c>
      <c r="D9">
        <v>75</v>
      </c>
      <c r="E9">
        <f t="shared" si="3"/>
        <v>40</v>
      </c>
      <c r="F9">
        <v>66</v>
      </c>
      <c r="G9">
        <v>0</v>
      </c>
      <c r="H9" s="5">
        <f t="shared" si="0"/>
        <v>0.66</v>
      </c>
      <c r="I9">
        <v>5</v>
      </c>
      <c r="J9" s="5">
        <f t="shared" si="1"/>
        <v>3.3000000000000003</v>
      </c>
      <c r="K9" s="5">
        <f t="shared" si="2"/>
        <v>0</v>
      </c>
    </row>
    <row r="10" spans="1:13" x14ac:dyDescent="0.2">
      <c r="A10" t="s">
        <v>12</v>
      </c>
      <c r="B10" s="4">
        <v>43253</v>
      </c>
      <c r="C10">
        <v>1</v>
      </c>
      <c r="D10">
        <v>75</v>
      </c>
      <c r="E10">
        <f t="shared" si="3"/>
        <v>45</v>
      </c>
      <c r="F10">
        <v>78</v>
      </c>
      <c r="G10">
        <v>0.06</v>
      </c>
      <c r="H10" s="5">
        <f t="shared" si="0"/>
        <v>0.78</v>
      </c>
      <c r="I10">
        <v>5</v>
      </c>
      <c r="J10" s="5">
        <f t="shared" si="1"/>
        <v>3.9000000000000004</v>
      </c>
      <c r="K10" s="5">
        <f t="shared" si="2"/>
        <v>0.23400000000000001</v>
      </c>
    </row>
    <row r="11" spans="1:13" x14ac:dyDescent="0.2">
      <c r="A11" t="s">
        <v>12</v>
      </c>
      <c r="B11" s="4">
        <v>43253</v>
      </c>
      <c r="C11">
        <v>1</v>
      </c>
      <c r="D11">
        <v>75</v>
      </c>
      <c r="E11">
        <f t="shared" si="3"/>
        <v>50</v>
      </c>
      <c r="F11">
        <v>80</v>
      </c>
      <c r="G11">
        <v>0.12</v>
      </c>
      <c r="H11" s="5">
        <f t="shared" si="0"/>
        <v>0.8</v>
      </c>
      <c r="I11">
        <v>5</v>
      </c>
      <c r="J11" s="5">
        <f t="shared" si="1"/>
        <v>4</v>
      </c>
      <c r="K11" s="5">
        <f t="shared" si="2"/>
        <v>0.48</v>
      </c>
    </row>
    <row r="12" spans="1:13" x14ac:dyDescent="0.2">
      <c r="A12" t="s">
        <v>12</v>
      </c>
      <c r="B12" s="4">
        <v>43253</v>
      </c>
      <c r="C12">
        <v>1</v>
      </c>
      <c r="D12">
        <v>75</v>
      </c>
      <c r="E12">
        <f t="shared" si="3"/>
        <v>55</v>
      </c>
      <c r="F12">
        <v>80</v>
      </c>
      <c r="G12">
        <v>0.09</v>
      </c>
      <c r="H12" s="5">
        <f t="shared" si="0"/>
        <v>0.8</v>
      </c>
      <c r="I12">
        <v>5</v>
      </c>
      <c r="J12" s="5">
        <f t="shared" si="1"/>
        <v>4</v>
      </c>
      <c r="K12" s="5">
        <f t="shared" si="2"/>
        <v>0.36</v>
      </c>
    </row>
    <row r="13" spans="1:13" x14ac:dyDescent="0.2">
      <c r="A13" t="s">
        <v>12</v>
      </c>
      <c r="B13" s="4">
        <v>43253</v>
      </c>
      <c r="C13">
        <v>1</v>
      </c>
      <c r="D13">
        <v>75</v>
      </c>
      <c r="E13">
        <f t="shared" si="3"/>
        <v>60</v>
      </c>
      <c r="F13">
        <v>84</v>
      </c>
      <c r="G13">
        <v>0</v>
      </c>
      <c r="H13" s="5">
        <f t="shared" si="0"/>
        <v>0.84</v>
      </c>
      <c r="I13">
        <v>5</v>
      </c>
      <c r="J13" s="5">
        <f t="shared" si="1"/>
        <v>4.2</v>
      </c>
      <c r="K13" s="5">
        <f t="shared" si="2"/>
        <v>0</v>
      </c>
    </row>
    <row r="14" spans="1:13" x14ac:dyDescent="0.2">
      <c r="A14" t="s">
        <v>12</v>
      </c>
      <c r="B14" s="4">
        <v>43253</v>
      </c>
      <c r="C14">
        <v>1</v>
      </c>
      <c r="D14">
        <v>75</v>
      </c>
      <c r="E14">
        <f t="shared" si="3"/>
        <v>65</v>
      </c>
      <c r="F14">
        <v>80</v>
      </c>
      <c r="G14">
        <v>0</v>
      </c>
      <c r="H14" s="5">
        <f t="shared" si="0"/>
        <v>0.8</v>
      </c>
      <c r="I14">
        <v>5</v>
      </c>
      <c r="J14" s="5">
        <f t="shared" si="1"/>
        <v>4</v>
      </c>
      <c r="K14" s="5">
        <f t="shared" si="2"/>
        <v>0</v>
      </c>
    </row>
    <row r="15" spans="1:13" x14ac:dyDescent="0.2">
      <c r="A15" t="s">
        <v>12</v>
      </c>
      <c r="B15" s="4">
        <v>43253</v>
      </c>
      <c r="C15">
        <v>1</v>
      </c>
      <c r="D15">
        <v>75</v>
      </c>
      <c r="E15">
        <f t="shared" si="3"/>
        <v>70</v>
      </c>
      <c r="F15">
        <v>74</v>
      </c>
      <c r="G15">
        <v>0.05</v>
      </c>
      <c r="H15" s="5">
        <f t="shared" si="0"/>
        <v>0.74</v>
      </c>
      <c r="I15">
        <v>5</v>
      </c>
      <c r="J15" s="5">
        <f t="shared" si="1"/>
        <v>3.7</v>
      </c>
      <c r="K15" s="5">
        <f t="shared" si="2"/>
        <v>0.18500000000000003</v>
      </c>
    </row>
    <row r="16" spans="1:13" x14ac:dyDescent="0.2">
      <c r="A16" t="s">
        <v>12</v>
      </c>
      <c r="B16" s="4">
        <v>43253</v>
      </c>
      <c r="C16">
        <v>1</v>
      </c>
      <c r="D16">
        <v>75</v>
      </c>
      <c r="E16">
        <f t="shared" si="3"/>
        <v>75</v>
      </c>
      <c r="F16">
        <v>54</v>
      </c>
      <c r="G16">
        <v>0.08</v>
      </c>
      <c r="H16" s="5">
        <f t="shared" si="0"/>
        <v>0.54</v>
      </c>
      <c r="I16">
        <v>5</v>
      </c>
      <c r="J16" s="5">
        <f t="shared" si="1"/>
        <v>2.7</v>
      </c>
      <c r="K16" s="5">
        <f t="shared" si="2"/>
        <v>0.21600000000000003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Michelle Catherine</dc:creator>
  <cp:lastModifiedBy>Kelly, Michelle Catherine</cp:lastModifiedBy>
  <dcterms:created xsi:type="dcterms:W3CDTF">2023-07-28T17:16:27Z</dcterms:created>
  <dcterms:modified xsi:type="dcterms:W3CDTF">2023-07-28T18:02:41Z</dcterms:modified>
</cp:coreProperties>
</file>