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le/GoogleDrive/PhD/Research/Analysis_Chapter1_CAREERProject/CAREER_DataAnalysis/data/metabolism/parameters/raw/rawData_SouthForkID/"/>
    </mc:Choice>
  </mc:AlternateContent>
  <xr:revisionPtr revIDLastSave="0" documentId="8_{0FA72D61-0BAE-A641-BAB0-D0312CF3F8DE}" xr6:coauthVersionLast="47" xr6:coauthVersionMax="47" xr10:uidLastSave="{00000000-0000-0000-0000-000000000000}"/>
  <bookViews>
    <workbookView xWindow="11800" yWindow="500" windowWidth="24380" windowHeight="9100" xr2:uid="{C843D877-E56F-5344-8834-48A54D88B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I3" i="1"/>
  <c r="G3" i="1"/>
  <c r="F3" i="1"/>
  <c r="F4" i="1" s="1"/>
  <c r="F5" i="1" s="1"/>
  <c r="F6" i="1" s="1"/>
  <c r="G13" i="1"/>
  <c r="G14" i="1"/>
  <c r="G15" i="1"/>
  <c r="G16" i="1"/>
  <c r="G17" i="1"/>
  <c r="G18" i="1"/>
  <c r="G19" i="1"/>
  <c r="G20" i="1"/>
  <c r="G21" i="1"/>
  <c r="G22" i="1"/>
  <c r="F13" i="1"/>
  <c r="F14" i="1" s="1"/>
  <c r="F15" i="1" s="1"/>
  <c r="F12" i="1"/>
  <c r="F26" i="1"/>
  <c r="F27" i="1" s="1"/>
  <c r="F28" i="1" s="1"/>
  <c r="F29" i="1" s="1"/>
  <c r="F30" i="1" s="1"/>
  <c r="F31" i="1" s="1"/>
  <c r="F32" i="1" s="1"/>
  <c r="F33" i="1" s="1"/>
  <c r="F25" i="1"/>
  <c r="G47" i="1"/>
  <c r="G48" i="1"/>
  <c r="G49" i="1"/>
  <c r="G50" i="1"/>
  <c r="G51" i="1"/>
  <c r="G52" i="1"/>
  <c r="G53" i="1"/>
  <c r="G54" i="1"/>
  <c r="G55" i="1"/>
  <c r="G37" i="1"/>
  <c r="G38" i="1"/>
  <c r="G39" i="1"/>
  <c r="G40" i="1"/>
  <c r="G41" i="1"/>
  <c r="G42" i="1"/>
  <c r="G43" i="1"/>
  <c r="G36" i="1"/>
  <c r="F37" i="1"/>
  <c r="F38" i="1" s="1"/>
  <c r="F39" i="1" s="1"/>
  <c r="F40" i="1" s="1"/>
  <c r="F41" i="1" s="1"/>
  <c r="F42" i="1" s="1"/>
  <c r="F43" i="1" s="1"/>
  <c r="F36" i="1"/>
  <c r="F47" i="1"/>
  <c r="F48" i="1" s="1"/>
  <c r="F49" i="1" s="1"/>
  <c r="F46" i="1"/>
  <c r="G63" i="1"/>
  <c r="E64" i="1"/>
  <c r="F58" i="1"/>
  <c r="F59" i="1" s="1"/>
  <c r="H65" i="1"/>
  <c r="E58" i="1"/>
  <c r="E59" i="1" s="1"/>
  <c r="E60" i="1" s="1"/>
  <c r="E61" i="1" s="1"/>
  <c r="E62" i="1" s="1"/>
  <c r="E63" i="1" s="1"/>
  <c r="E46" i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36" i="1"/>
  <c r="E37" i="1" s="1"/>
  <c r="E38" i="1" s="1"/>
  <c r="E39" i="1" s="1"/>
  <c r="E40" i="1" s="1"/>
  <c r="E41" i="1" s="1"/>
  <c r="E42" i="1" s="1"/>
  <c r="E43" i="1" s="1"/>
  <c r="E44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3" i="1"/>
  <c r="E4" i="1" s="1"/>
  <c r="E5" i="1" s="1"/>
  <c r="E6" i="1" s="1"/>
  <c r="E7" i="1" s="1"/>
  <c r="E8" i="1" s="1"/>
  <c r="E9" i="1" s="1"/>
  <c r="E10" i="1" s="1"/>
  <c r="F7" i="1" l="1"/>
  <c r="G5" i="1"/>
  <c r="I5" i="1" s="1"/>
  <c r="K5" i="1" s="1"/>
  <c r="G4" i="1"/>
  <c r="I4" i="1" s="1"/>
  <c r="K4" i="1" s="1"/>
  <c r="F16" i="1"/>
  <c r="G12" i="1"/>
  <c r="G27" i="1"/>
  <c r="G25" i="1"/>
  <c r="G26" i="1"/>
  <c r="F50" i="1"/>
  <c r="G46" i="1"/>
  <c r="F60" i="1"/>
  <c r="G58" i="1"/>
  <c r="F8" i="1" l="1"/>
  <c r="G6" i="1"/>
  <c r="I6" i="1" s="1"/>
  <c r="K6" i="1" s="1"/>
  <c r="F17" i="1"/>
  <c r="G28" i="1"/>
  <c r="F51" i="1"/>
  <c r="F61" i="1"/>
  <c r="G59" i="1"/>
  <c r="G9" i="1" l="1"/>
  <c r="I9" i="1" s="1"/>
  <c r="G7" i="1"/>
  <c r="I7" i="1" s="1"/>
  <c r="K7" i="1" s="1"/>
  <c r="L2" i="1" s="1"/>
  <c r="M2" i="1" s="1"/>
  <c r="F9" i="1"/>
  <c r="G8" i="1" s="1"/>
  <c r="I8" i="1" s="1"/>
  <c r="K8" i="1" s="1"/>
  <c r="F18" i="1"/>
  <c r="G29" i="1"/>
  <c r="F52" i="1"/>
  <c r="F62" i="1"/>
  <c r="G60" i="1"/>
  <c r="F19" i="1" l="1"/>
  <c r="G30" i="1"/>
  <c r="F53" i="1"/>
  <c r="F63" i="1"/>
  <c r="G62" i="1" s="1"/>
  <c r="G61" i="1"/>
  <c r="F20" i="1" l="1"/>
  <c r="G33" i="1"/>
  <c r="G31" i="1"/>
  <c r="G32" i="1"/>
  <c r="F54" i="1"/>
  <c r="F21" i="1" l="1"/>
  <c r="F55" i="1"/>
  <c r="F22" i="1" l="1"/>
</calcChain>
</file>

<file path=xl/sharedStrings.xml><?xml version="1.0" encoding="utf-8"?>
<sst xmlns="http://schemas.openxmlformats.org/spreadsheetml/2006/main" count="41" uniqueCount="25">
  <si>
    <t>Date</t>
  </si>
  <si>
    <t>Site</t>
  </si>
  <si>
    <t>South Fork Mink Creek</t>
  </si>
  <si>
    <t>TooShallow</t>
  </si>
  <si>
    <t>Velocity (m/s)</t>
  </si>
  <si>
    <t>Area (m2)</t>
  </si>
  <si>
    <t>Distance from bank (m)</t>
  </si>
  <si>
    <t>Transect number</t>
  </si>
  <si>
    <t>RWE</t>
  </si>
  <si>
    <t>LWE</t>
  </si>
  <si>
    <t>NA</t>
  </si>
  <si>
    <t>Width at point (m)</t>
  </si>
  <si>
    <t>Depth at point (m)</t>
  </si>
  <si>
    <t>Total wetted width (m)</t>
  </si>
  <si>
    <t>Measurement point</t>
  </si>
  <si>
    <t>Q at point (m3/s)</t>
  </si>
  <si>
    <t>Total transect Q (m3/s)</t>
  </si>
  <si>
    <t>Total Q (L/s)</t>
  </si>
  <si>
    <t>MEAN</t>
  </si>
  <si>
    <t>Transect 0 July 27</t>
  </si>
  <si>
    <t>Transect 1 July 25</t>
  </si>
  <si>
    <t>Transect 2 July 25</t>
  </si>
  <si>
    <t>Transect 3 July 25</t>
  </si>
  <si>
    <t xml:space="preserve">Transect 4 July 25
</t>
  </si>
  <si>
    <t>Transect 5 July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</si>
</sst>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0" fontId="1" fillId="0" borderId="0" xfId="0" applyFont="1"/>
    <xf numFmtId="164" fontId="1" fillId="0" borderId="2" xfId="0" applyNumberFormat="1" applyFont="1" applyBorder="1" applyAlignment="1">
      <alignment horizontal="right"/>
    </xf>
    <xf numFmtId="164" fontId="0" fillId="0" borderId="2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" fontId="0" fillId="0" borderId="2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2" fillId="0" borderId="2" xfId="0" applyNumberFormat="1" applyFont="1" applyBorder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1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tx>
            <c:strRef>
              <c:f>Sheet1!$C$2</c:f>
              <c:strCache>
                <c:ptCount val="1"/>
                <c:pt idx="0">
                  <c:v>Transect 0 July 27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Sheet1!$F$2:$F$9</c:f>
              <c:numCache>
                <c:formatCode>0.000000</c:formatCode>
                <c:ptCount val="8"/>
                <c:pt idx="0" formatCode="0.00">
                  <c:v>0</c:v>
                </c:pt>
                <c:pt idx="1">
                  <c:v>0.22</c:v>
                </c:pt>
                <c:pt idx="2">
                  <c:v>0.44</c:v>
                </c:pt>
                <c:pt idx="3">
                  <c:v>0.66</c:v>
                </c:pt>
                <c:pt idx="4">
                  <c:v>0.88</c:v>
                </c:pt>
                <c:pt idx="5">
                  <c:v>1.1000000000000001</c:v>
                </c:pt>
                <c:pt idx="6">
                  <c:v>1.32</c:v>
                </c:pt>
                <c:pt idx="7">
                  <c:v>1.54</c:v>
                </c:pt>
              </c:numCache>
            </c:numRef>
          </c:xVal>
          <c:yVal>
            <c:numRef>
              <c:f>Sheet1!$H$2:$H$9</c:f>
              <c:numCache>
                <c:formatCode>General</c:formatCode>
                <c:ptCount val="8"/>
                <c:pt idx="0">
                  <c:v>0.06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0.06</c:v>
                </c:pt>
                <c:pt idx="6">
                  <c:v>0.04</c:v>
                </c:pt>
                <c:pt idx="7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836-EA42-951D-56DA6490EA38}"/>
            </c:ext>
          </c:extLst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Transect 1 July 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Sheet1!$F$11:$F$22</c:f>
              <c:numCache>
                <c:formatCode>0.000000</c:formatCode>
                <c:ptCount val="12"/>
                <c:pt idx="0" formatCode="0.00">
                  <c:v>0</c:v>
                </c:pt>
                <c:pt idx="1">
                  <c:v>0.19166666666666665</c:v>
                </c:pt>
                <c:pt idx="2">
                  <c:v>0.3833333333333333</c:v>
                </c:pt>
                <c:pt idx="3">
                  <c:v>0.57499999999999996</c:v>
                </c:pt>
                <c:pt idx="4">
                  <c:v>0.76666666666666661</c:v>
                </c:pt>
                <c:pt idx="5">
                  <c:v>0.95833333333333326</c:v>
                </c:pt>
                <c:pt idx="6">
                  <c:v>1.1499999999999999</c:v>
                </c:pt>
                <c:pt idx="7">
                  <c:v>1.3416666666666666</c:v>
                </c:pt>
                <c:pt idx="8">
                  <c:v>1.5333333333333332</c:v>
                </c:pt>
                <c:pt idx="9">
                  <c:v>1.7249999999999999</c:v>
                </c:pt>
                <c:pt idx="10">
                  <c:v>1.9166666666666665</c:v>
                </c:pt>
                <c:pt idx="11">
                  <c:v>2.1083333333333334</c:v>
                </c:pt>
              </c:numCache>
            </c:numRef>
          </c:xVal>
          <c:yVal>
            <c:numRef>
              <c:f>Sheet1!$H$11:$H$22</c:f>
              <c:numCache>
                <c:formatCode>General</c:formatCode>
                <c:ptCount val="12"/>
                <c:pt idx="0">
                  <c:v>0.04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36-EA42-951D-56DA6490EA38}"/>
            </c:ext>
          </c:extLst>
        </c:ser>
        <c:ser>
          <c:idx val="0"/>
          <c:order val="2"/>
          <c:tx>
            <c:strRef>
              <c:f>Sheet1!$C$24</c:f>
              <c:strCache>
                <c:ptCount val="1"/>
                <c:pt idx="0">
                  <c:v>Transect 2 July 25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Sheet1!$F$24:$F$33</c:f>
              <c:numCache>
                <c:formatCode>0.000000</c:formatCode>
                <c:ptCount val="10"/>
                <c:pt idx="0" formatCode="0.00">
                  <c:v>0</c:v>
                </c:pt>
                <c:pt idx="1">
                  <c:v>0.193</c:v>
                </c:pt>
                <c:pt idx="2">
                  <c:v>0.38600000000000001</c:v>
                </c:pt>
                <c:pt idx="3">
                  <c:v>0.57899999999999996</c:v>
                </c:pt>
                <c:pt idx="4">
                  <c:v>0.77200000000000002</c:v>
                </c:pt>
                <c:pt idx="5">
                  <c:v>0.96500000000000008</c:v>
                </c:pt>
                <c:pt idx="6">
                  <c:v>1.1580000000000001</c:v>
                </c:pt>
                <c:pt idx="7">
                  <c:v>1.3510000000000002</c:v>
                </c:pt>
                <c:pt idx="8">
                  <c:v>1.5440000000000003</c:v>
                </c:pt>
                <c:pt idx="9">
                  <c:v>1.7370000000000003</c:v>
                </c:pt>
              </c:numCache>
            </c:numRef>
          </c:xVal>
          <c:yVal>
            <c:numRef>
              <c:f>Sheet1!$H$24:$H$33</c:f>
              <c:numCache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0.03</c:v>
                </c:pt>
                <c:pt idx="3">
                  <c:v>0.04</c:v>
                </c:pt>
                <c:pt idx="4">
                  <c:v>5.5E-2</c:v>
                </c:pt>
                <c:pt idx="5">
                  <c:v>0.11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</c:v>
                </c:pt>
                <c:pt idx="9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36-EA42-951D-56DA6490EA38}"/>
            </c:ext>
          </c:extLst>
        </c:ser>
        <c:ser>
          <c:idx val="2"/>
          <c:order val="3"/>
          <c:tx>
            <c:strRef>
              <c:f>Sheet1!$C$35</c:f>
              <c:strCache>
                <c:ptCount val="1"/>
                <c:pt idx="0">
                  <c:v>Transect 3 July 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Sheet1!$F$35:$F$43</c:f>
              <c:numCache>
                <c:formatCode>0.000000</c:formatCode>
                <c:ptCount val="9"/>
                <c:pt idx="0" formatCode="0.00">
                  <c:v>0</c:v>
                </c:pt>
                <c:pt idx="1">
                  <c:v>0.23333333333333334</c:v>
                </c:pt>
                <c:pt idx="2">
                  <c:v>0.46666666666666667</c:v>
                </c:pt>
                <c:pt idx="3">
                  <c:v>0.7</c:v>
                </c:pt>
                <c:pt idx="4">
                  <c:v>0.93333333333333335</c:v>
                </c:pt>
                <c:pt idx="5">
                  <c:v>1.1666666666666667</c:v>
                </c:pt>
                <c:pt idx="6">
                  <c:v>1.4000000000000001</c:v>
                </c:pt>
                <c:pt idx="7">
                  <c:v>1.6333333333333335</c:v>
                </c:pt>
                <c:pt idx="8">
                  <c:v>1.8666666666666669</c:v>
                </c:pt>
              </c:numCache>
            </c:numRef>
          </c:xVal>
          <c:yVal>
            <c:numRef>
              <c:f>Sheet1!$H$35:$H$43</c:f>
              <c:numCache>
                <c:formatCode>General</c:formatCode>
                <c:ptCount val="9"/>
                <c:pt idx="0">
                  <c:v>0.01</c:v>
                </c:pt>
                <c:pt idx="1">
                  <c:v>0.09</c:v>
                </c:pt>
                <c:pt idx="2">
                  <c:v>0.11</c:v>
                </c:pt>
                <c:pt idx="3">
                  <c:v>0.17</c:v>
                </c:pt>
                <c:pt idx="4">
                  <c:v>0.24</c:v>
                </c:pt>
                <c:pt idx="5">
                  <c:v>0.28999999999999998</c:v>
                </c:pt>
                <c:pt idx="6">
                  <c:v>0.36</c:v>
                </c:pt>
                <c:pt idx="7">
                  <c:v>0.4</c:v>
                </c:pt>
                <c:pt idx="8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36-EA42-951D-56DA6490EA38}"/>
            </c:ext>
          </c:extLst>
        </c:ser>
        <c:ser>
          <c:idx val="3"/>
          <c:order val="4"/>
          <c:tx>
            <c:strRef>
              <c:f>Sheet1!$C$45</c:f>
              <c:strCache>
                <c:ptCount val="1"/>
                <c:pt idx="0">
                  <c:v>Transect 4 July 25
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Sheet1!$F$45:$F$55</c:f>
              <c:numCache>
                <c:formatCode>0.000000</c:formatCode>
                <c:ptCount val="11"/>
                <c:pt idx="0" formatCode="0.00">
                  <c:v>0</c:v>
                </c:pt>
                <c:pt idx="1">
                  <c:v>0.17636363636363636</c:v>
                </c:pt>
                <c:pt idx="2">
                  <c:v>0.35272727272727272</c:v>
                </c:pt>
                <c:pt idx="3">
                  <c:v>0.52909090909090906</c:v>
                </c:pt>
                <c:pt idx="4">
                  <c:v>0.70545454545454545</c:v>
                </c:pt>
                <c:pt idx="5">
                  <c:v>0.88181818181818183</c:v>
                </c:pt>
                <c:pt idx="6">
                  <c:v>1.0581818181818181</c:v>
                </c:pt>
                <c:pt idx="7">
                  <c:v>1.2345454545454544</c:v>
                </c:pt>
                <c:pt idx="8">
                  <c:v>1.4109090909090907</c:v>
                </c:pt>
                <c:pt idx="9">
                  <c:v>1.5872727272727269</c:v>
                </c:pt>
                <c:pt idx="10">
                  <c:v>1.7636363636363632</c:v>
                </c:pt>
              </c:numCache>
            </c:numRef>
          </c:xVal>
          <c:yVal>
            <c:numRef>
              <c:f>Sheet1!$H$45:$H$55</c:f>
              <c:numCache>
                <c:formatCode>General</c:formatCode>
                <c:ptCount val="11"/>
                <c:pt idx="0">
                  <c:v>0.02</c:v>
                </c:pt>
                <c:pt idx="1">
                  <c:v>0.06</c:v>
                </c:pt>
                <c:pt idx="2">
                  <c:v>0.09</c:v>
                </c:pt>
                <c:pt idx="3">
                  <c:v>0.08</c:v>
                </c:pt>
                <c:pt idx="4">
                  <c:v>0.09</c:v>
                </c:pt>
                <c:pt idx="5">
                  <c:v>0.12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</c:v>
                </c:pt>
                <c:pt idx="1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36-EA42-951D-56DA6490EA38}"/>
            </c:ext>
          </c:extLst>
        </c:ser>
        <c:ser>
          <c:idx val="4"/>
          <c:order val="5"/>
          <c:tx>
            <c:strRef>
              <c:f>Sheet1!$C$57</c:f>
              <c:strCache>
                <c:ptCount val="1"/>
                <c:pt idx="0">
                  <c:v>Transect 5 July 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Sheet1!$F$57:$F$62</c:f>
              <c:numCache>
                <c:formatCode>0.000000</c:formatCode>
                <c:ptCount val="6"/>
                <c:pt idx="0">
                  <c:v>0</c:v>
                </c:pt>
                <c:pt idx="1">
                  <c:v>0.17857142857142858</c:v>
                </c:pt>
                <c:pt idx="2">
                  <c:v>0.35714285714285715</c:v>
                </c:pt>
                <c:pt idx="3">
                  <c:v>0.5357142857142857</c:v>
                </c:pt>
                <c:pt idx="4">
                  <c:v>0.7142857142857143</c:v>
                </c:pt>
                <c:pt idx="5">
                  <c:v>0.8928571428571429</c:v>
                </c:pt>
              </c:numCache>
            </c:numRef>
          </c:xVal>
          <c:yVal>
            <c:numRef>
              <c:f>Sheet1!$H$58:$H$63</c:f>
              <c:numCache>
                <c:formatCode>General</c:formatCode>
                <c:ptCount val="6"/>
                <c:pt idx="0">
                  <c:v>0.09</c:v>
                </c:pt>
                <c:pt idx="1">
                  <c:v>0.13</c:v>
                </c:pt>
                <c:pt idx="2">
                  <c:v>0.16</c:v>
                </c:pt>
                <c:pt idx="3">
                  <c:v>0.18</c:v>
                </c:pt>
                <c:pt idx="4">
                  <c:v>0.21</c:v>
                </c:pt>
                <c:pt idx="5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36-EA42-951D-56DA6490E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165183"/>
        <c:axId val="2063407263"/>
      </c:scatterChart>
      <c:valAx>
        <c:axId val="204516518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bank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07263"/>
        <c:crosses val="autoZero"/>
        <c:crossBetween val="midCat"/>
      </c:valAx>
      <c:valAx>
        <c:axId val="206340726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6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0</xdr:row>
      <xdr:rowOff>139700</xdr:rowOff>
    </xdr:from>
    <xdr:to>
      <xdr:col>20</xdr:col>
      <xdr:colOff>228600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6E90C-7A56-12B2-6D05-803330CD7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FDC4-0503-E140-B9A7-88B80A80607D}">
  <dimension ref="A1:M65"/>
  <sheetViews>
    <sheetView tabSelected="1" workbookViewId="0">
      <selection activeCell="M2" sqref="M2:M10"/>
    </sheetView>
  </sheetViews>
  <sheetFormatPr baseColWidth="10" defaultRowHeight="16" x14ac:dyDescent="0.2"/>
  <cols>
    <col min="1" max="1" width="19.5" bestFit="1" customWidth="1"/>
    <col min="2" max="2" width="10.83203125" style="1"/>
    <col min="3" max="3" width="10.83203125" style="2"/>
    <col min="4" max="4" width="15.83203125" customWidth="1"/>
    <col min="5" max="5" width="13" customWidth="1"/>
    <col min="6" max="7" width="13.1640625" customWidth="1"/>
  </cols>
  <sheetData>
    <row r="1" spans="1:13" ht="51" customHeight="1" x14ac:dyDescent="0.2">
      <c r="A1" s="10" t="s">
        <v>1</v>
      </c>
      <c r="B1" s="8" t="s">
        <v>0</v>
      </c>
      <c r="C1" s="9" t="s">
        <v>7</v>
      </c>
      <c r="D1" s="10" t="s">
        <v>13</v>
      </c>
      <c r="E1" s="10" t="s">
        <v>14</v>
      </c>
      <c r="F1" s="10" t="s">
        <v>6</v>
      </c>
      <c r="G1" s="10" t="s">
        <v>11</v>
      </c>
      <c r="H1" s="10" t="s">
        <v>12</v>
      </c>
      <c r="I1" s="10" t="s">
        <v>5</v>
      </c>
      <c r="J1" s="10" t="s">
        <v>4</v>
      </c>
      <c r="K1" s="10" t="s">
        <v>15</v>
      </c>
      <c r="L1" s="10" t="s">
        <v>16</v>
      </c>
      <c r="M1" s="10" t="s">
        <v>17</v>
      </c>
    </row>
    <row r="2" spans="1:13" x14ac:dyDescent="0.2">
      <c r="A2" s="26" t="s">
        <v>2</v>
      </c>
      <c r="B2" s="19">
        <v>42943</v>
      </c>
      <c r="C2" s="22" t="s">
        <v>19</v>
      </c>
      <c r="D2" s="25">
        <v>1.76</v>
      </c>
      <c r="E2" s="3">
        <v>1</v>
      </c>
      <c r="F2" s="4">
        <v>0</v>
      </c>
      <c r="G2" s="4" t="s">
        <v>8</v>
      </c>
      <c r="H2">
        <v>0.06</v>
      </c>
      <c r="J2">
        <v>-0.02</v>
      </c>
      <c r="L2" s="25">
        <f>SUM(K2:K9)</f>
        <v>2.3716000000000001E-2</v>
      </c>
      <c r="M2" s="25">
        <f>L2*1000</f>
        <v>23.716000000000001</v>
      </c>
    </row>
    <row r="3" spans="1:13" x14ac:dyDescent="0.2">
      <c r="A3" s="26"/>
      <c r="B3" s="20"/>
      <c r="C3" s="23"/>
      <c r="D3" s="26"/>
      <c r="E3" s="3">
        <f>E2+1</f>
        <v>2</v>
      </c>
      <c r="F3" s="11">
        <f>F2+($D$2/COUNT($E$2:$E$9))</f>
        <v>0.22</v>
      </c>
      <c r="G3" s="4">
        <f>(F4-F2)/2</f>
        <v>0.22</v>
      </c>
      <c r="H3">
        <v>0.14000000000000001</v>
      </c>
      <c r="I3">
        <f>H3*G3</f>
        <v>3.0800000000000004E-2</v>
      </c>
      <c r="J3">
        <v>0.21</v>
      </c>
      <c r="K3">
        <f>I3*J3</f>
        <v>6.4680000000000007E-3</v>
      </c>
      <c r="L3" s="26"/>
      <c r="M3" s="26"/>
    </row>
    <row r="4" spans="1:13" x14ac:dyDescent="0.2">
      <c r="A4" s="26"/>
      <c r="B4" s="20"/>
      <c r="C4" s="23"/>
      <c r="D4" s="26"/>
      <c r="E4" s="3">
        <f t="shared" ref="E4:E10" si="0">E3+1</f>
        <v>3</v>
      </c>
      <c r="F4" s="11">
        <f t="shared" ref="F4:F9" si="1">F3+($D$2/COUNT($E$2:$E$9))</f>
        <v>0.44</v>
      </c>
      <c r="G4" s="4">
        <f t="shared" ref="G4:G9" si="2">(F5-F3)/2</f>
        <v>0.22000000000000003</v>
      </c>
      <c r="H4">
        <v>0.14000000000000001</v>
      </c>
      <c r="I4">
        <f t="shared" ref="I4:I9" si="3">H4*G4</f>
        <v>3.0800000000000008E-2</v>
      </c>
      <c r="J4">
        <v>0.31</v>
      </c>
      <c r="K4">
        <f t="shared" ref="K4:K8" si="4">I4*J4</f>
        <v>9.5480000000000027E-3</v>
      </c>
      <c r="L4" s="26"/>
      <c r="M4" s="26"/>
    </row>
    <row r="5" spans="1:13" x14ac:dyDescent="0.2">
      <c r="A5" s="26"/>
      <c r="B5" s="20"/>
      <c r="C5" s="23"/>
      <c r="D5" s="26"/>
      <c r="E5" s="3">
        <f t="shared" si="0"/>
        <v>4</v>
      </c>
      <c r="F5" s="11">
        <f t="shared" si="1"/>
        <v>0.66</v>
      </c>
      <c r="G5" s="4">
        <f t="shared" si="2"/>
        <v>0.22</v>
      </c>
      <c r="H5">
        <v>0.14000000000000001</v>
      </c>
      <c r="I5">
        <f t="shared" si="3"/>
        <v>3.0800000000000004E-2</v>
      </c>
      <c r="J5">
        <v>0.02</v>
      </c>
      <c r="K5">
        <f t="shared" si="4"/>
        <v>6.1600000000000012E-4</v>
      </c>
      <c r="L5" s="26"/>
      <c r="M5" s="26"/>
    </row>
    <row r="6" spans="1:13" x14ac:dyDescent="0.2">
      <c r="A6" s="26"/>
      <c r="B6" s="20"/>
      <c r="C6" s="23"/>
      <c r="D6" s="26"/>
      <c r="E6" s="3">
        <f t="shared" si="0"/>
        <v>5</v>
      </c>
      <c r="F6" s="11">
        <f t="shared" si="1"/>
        <v>0.88</v>
      </c>
      <c r="G6" s="4">
        <f t="shared" si="2"/>
        <v>0.22000000000000003</v>
      </c>
      <c r="H6">
        <v>0.14000000000000001</v>
      </c>
      <c r="I6">
        <f t="shared" si="3"/>
        <v>3.0800000000000008E-2</v>
      </c>
      <c r="J6">
        <v>0.08</v>
      </c>
      <c r="K6">
        <f t="shared" si="4"/>
        <v>2.4640000000000005E-3</v>
      </c>
      <c r="L6" s="26"/>
      <c r="M6" s="26"/>
    </row>
    <row r="7" spans="1:13" x14ac:dyDescent="0.2">
      <c r="A7" s="26"/>
      <c r="B7" s="20"/>
      <c r="C7" s="23"/>
      <c r="D7" s="26"/>
      <c r="E7" s="3">
        <f t="shared" si="0"/>
        <v>6</v>
      </c>
      <c r="F7" s="11">
        <f t="shared" si="1"/>
        <v>1.1000000000000001</v>
      </c>
      <c r="G7" s="4">
        <f t="shared" si="2"/>
        <v>0.22000000000000003</v>
      </c>
      <c r="H7">
        <v>0.06</v>
      </c>
      <c r="I7">
        <f>H7*G7</f>
        <v>1.3200000000000002E-2</v>
      </c>
      <c r="J7">
        <v>0.21</v>
      </c>
      <c r="K7">
        <f t="shared" si="4"/>
        <v>2.7720000000000002E-3</v>
      </c>
      <c r="L7" s="26"/>
      <c r="M7" s="26"/>
    </row>
    <row r="8" spans="1:13" x14ac:dyDescent="0.2">
      <c r="A8" s="26"/>
      <c r="B8" s="20"/>
      <c r="C8" s="23"/>
      <c r="D8" s="26"/>
      <c r="E8" s="3">
        <f t="shared" si="0"/>
        <v>7</v>
      </c>
      <c r="F8" s="11">
        <f t="shared" si="1"/>
        <v>1.32</v>
      </c>
      <c r="G8" s="4">
        <f t="shared" si="2"/>
        <v>0.21999999999999997</v>
      </c>
      <c r="H8">
        <v>0.04</v>
      </c>
      <c r="I8">
        <f t="shared" si="3"/>
        <v>8.7999999999999988E-3</v>
      </c>
      <c r="J8">
        <v>0.21</v>
      </c>
      <c r="K8">
        <f t="shared" si="4"/>
        <v>1.8479999999999996E-3</v>
      </c>
      <c r="L8" s="26"/>
      <c r="M8" s="26"/>
    </row>
    <row r="9" spans="1:13" x14ac:dyDescent="0.2">
      <c r="A9" s="26"/>
      <c r="B9" s="20"/>
      <c r="C9" s="23"/>
      <c r="D9" s="26"/>
      <c r="E9" s="3">
        <f t="shared" si="0"/>
        <v>8</v>
      </c>
      <c r="F9" s="11">
        <f t="shared" si="1"/>
        <v>1.54</v>
      </c>
      <c r="G9" s="4">
        <f t="shared" si="2"/>
        <v>0.21999999999999997</v>
      </c>
      <c r="H9">
        <v>0.02</v>
      </c>
      <c r="I9">
        <f t="shared" si="3"/>
        <v>4.3999999999999994E-3</v>
      </c>
      <c r="J9" t="s">
        <v>3</v>
      </c>
      <c r="L9" s="26"/>
      <c r="M9" s="26"/>
    </row>
    <row r="10" spans="1:13" x14ac:dyDescent="0.2">
      <c r="A10" s="26"/>
      <c r="B10" s="21"/>
      <c r="C10" s="24"/>
      <c r="D10" s="27"/>
      <c r="E10" s="5">
        <f t="shared" si="0"/>
        <v>9</v>
      </c>
      <c r="F10" s="6">
        <v>1.76</v>
      </c>
      <c r="G10" s="6" t="s">
        <v>9</v>
      </c>
      <c r="H10" s="7" t="s">
        <v>10</v>
      </c>
      <c r="I10" s="7"/>
      <c r="J10" s="7"/>
      <c r="K10" s="7"/>
      <c r="L10" s="27"/>
      <c r="M10" s="27"/>
    </row>
    <row r="11" spans="1:13" x14ac:dyDescent="0.2">
      <c r="A11" s="26"/>
      <c r="B11" s="20">
        <v>42941</v>
      </c>
      <c r="C11" s="23" t="s">
        <v>20</v>
      </c>
      <c r="D11" s="26">
        <v>2.2999999999999998</v>
      </c>
      <c r="E11" s="3">
        <v>1</v>
      </c>
      <c r="F11" s="4">
        <v>0</v>
      </c>
      <c r="G11" s="4" t="s">
        <v>8</v>
      </c>
      <c r="H11">
        <v>0.04</v>
      </c>
    </row>
    <row r="12" spans="1:13" x14ac:dyDescent="0.2">
      <c r="A12" s="26"/>
      <c r="B12" s="20"/>
      <c r="C12" s="23"/>
      <c r="D12" s="26"/>
      <c r="E12" s="3">
        <f>E11+1</f>
        <v>2</v>
      </c>
      <c r="F12" s="11">
        <f>F11+($D$11/COUNT($E$11:$E$22))</f>
        <v>0.19166666666666665</v>
      </c>
      <c r="G12" s="4">
        <f>(F13-F11)/2</f>
        <v>0.19166666666666665</v>
      </c>
      <c r="H12">
        <v>0.06</v>
      </c>
    </row>
    <row r="13" spans="1:13" x14ac:dyDescent="0.2">
      <c r="A13" s="26"/>
      <c r="B13" s="20"/>
      <c r="C13" s="23"/>
      <c r="D13" s="26"/>
      <c r="E13" s="3">
        <f t="shared" ref="E13:E22" si="5">E12+1</f>
        <v>3</v>
      </c>
      <c r="F13" s="11">
        <f t="shared" ref="F13:F22" si="6">F12+($D$11/COUNT($E$11:$E$22))</f>
        <v>0.3833333333333333</v>
      </c>
      <c r="G13" s="4">
        <f t="shared" ref="G13:G22" si="7">(F14-F12)/2</f>
        <v>0.19166666666666665</v>
      </c>
      <c r="H13">
        <v>7.0000000000000007E-2</v>
      </c>
    </row>
    <row r="14" spans="1:13" x14ac:dyDescent="0.2">
      <c r="A14" s="26"/>
      <c r="B14" s="20"/>
      <c r="C14" s="23"/>
      <c r="D14" s="26"/>
      <c r="E14" s="3">
        <f t="shared" si="5"/>
        <v>4</v>
      </c>
      <c r="F14" s="11">
        <f t="shared" si="6"/>
        <v>0.57499999999999996</v>
      </c>
      <c r="G14" s="4">
        <f t="shared" si="7"/>
        <v>0.19166666666666665</v>
      </c>
      <c r="H14">
        <v>0.08</v>
      </c>
    </row>
    <row r="15" spans="1:13" x14ac:dyDescent="0.2">
      <c r="A15" s="26"/>
      <c r="B15" s="20"/>
      <c r="C15" s="23"/>
      <c r="D15" s="26"/>
      <c r="E15" s="3">
        <f t="shared" si="5"/>
        <v>5</v>
      </c>
      <c r="F15" s="11">
        <f t="shared" si="6"/>
        <v>0.76666666666666661</v>
      </c>
      <c r="G15" s="4">
        <f t="shared" si="7"/>
        <v>0.19166666666666665</v>
      </c>
      <c r="H15">
        <v>0.05</v>
      </c>
    </row>
    <row r="16" spans="1:13" x14ac:dyDescent="0.2">
      <c r="A16" s="26"/>
      <c r="B16" s="20"/>
      <c r="C16" s="23"/>
      <c r="D16" s="26"/>
      <c r="E16" s="3">
        <f t="shared" si="5"/>
        <v>6</v>
      </c>
      <c r="F16" s="11">
        <f t="shared" si="6"/>
        <v>0.95833333333333326</v>
      </c>
      <c r="G16" s="4">
        <f t="shared" si="7"/>
        <v>0.19166666666666665</v>
      </c>
      <c r="H16">
        <v>0.06</v>
      </c>
    </row>
    <row r="17" spans="1:13" x14ac:dyDescent="0.2">
      <c r="A17" s="26"/>
      <c r="B17" s="20"/>
      <c r="C17" s="23"/>
      <c r="D17" s="26"/>
      <c r="E17" s="3">
        <f t="shared" si="5"/>
        <v>7</v>
      </c>
      <c r="F17" s="11">
        <f t="shared" si="6"/>
        <v>1.1499999999999999</v>
      </c>
      <c r="G17" s="4">
        <f t="shared" si="7"/>
        <v>0.19166666666666665</v>
      </c>
      <c r="H17">
        <v>7.0000000000000007E-2</v>
      </c>
    </row>
    <row r="18" spans="1:13" x14ac:dyDescent="0.2">
      <c r="A18" s="26"/>
      <c r="B18" s="20"/>
      <c r="C18" s="23"/>
      <c r="D18" s="26"/>
      <c r="E18" s="3">
        <f t="shared" si="5"/>
        <v>8</v>
      </c>
      <c r="F18" s="11">
        <f t="shared" si="6"/>
        <v>1.3416666666666666</v>
      </c>
      <c r="G18" s="4">
        <f t="shared" si="7"/>
        <v>0.19166666666666665</v>
      </c>
      <c r="H18">
        <v>7.0000000000000007E-2</v>
      </c>
    </row>
    <row r="19" spans="1:13" x14ac:dyDescent="0.2">
      <c r="A19" s="26"/>
      <c r="B19" s="20"/>
      <c r="C19" s="23"/>
      <c r="D19" s="26"/>
      <c r="E19" s="3">
        <f t="shared" si="5"/>
        <v>9</v>
      </c>
      <c r="F19" s="11">
        <f t="shared" si="6"/>
        <v>1.5333333333333332</v>
      </c>
      <c r="G19" s="4">
        <f t="shared" si="7"/>
        <v>0.19166666666666665</v>
      </c>
      <c r="H19">
        <v>7.0000000000000007E-2</v>
      </c>
    </row>
    <row r="20" spans="1:13" x14ac:dyDescent="0.2">
      <c r="A20" s="26"/>
      <c r="B20" s="20"/>
      <c r="C20" s="23"/>
      <c r="D20" s="26"/>
      <c r="E20" s="3">
        <f t="shared" si="5"/>
        <v>10</v>
      </c>
      <c r="F20" s="11">
        <f t="shared" si="6"/>
        <v>1.7249999999999999</v>
      </c>
      <c r="G20" s="4">
        <f t="shared" si="7"/>
        <v>0.19166666666666665</v>
      </c>
      <c r="H20">
        <v>0.08</v>
      </c>
    </row>
    <row r="21" spans="1:13" x14ac:dyDescent="0.2">
      <c r="A21" s="26"/>
      <c r="B21" s="20"/>
      <c r="C21" s="23"/>
      <c r="D21" s="26"/>
      <c r="E21" s="3">
        <f t="shared" si="5"/>
        <v>11</v>
      </c>
      <c r="F21" s="11">
        <f t="shared" si="6"/>
        <v>1.9166666666666665</v>
      </c>
      <c r="G21" s="4">
        <f t="shared" si="7"/>
        <v>0.19166666666666676</v>
      </c>
      <c r="H21">
        <v>0.08</v>
      </c>
    </row>
    <row r="22" spans="1:13" x14ac:dyDescent="0.2">
      <c r="A22" s="26"/>
      <c r="B22" s="20"/>
      <c r="C22" s="23"/>
      <c r="D22" s="26"/>
      <c r="E22" s="3">
        <f t="shared" si="5"/>
        <v>12</v>
      </c>
      <c r="F22" s="11">
        <f t="shared" si="6"/>
        <v>2.1083333333333334</v>
      </c>
      <c r="G22" s="4">
        <f t="shared" si="7"/>
        <v>0.19166666666666665</v>
      </c>
      <c r="H22">
        <v>0.04</v>
      </c>
    </row>
    <row r="23" spans="1:13" x14ac:dyDescent="0.2">
      <c r="A23" s="26"/>
      <c r="B23" s="20"/>
      <c r="C23" s="24"/>
      <c r="D23" s="27"/>
      <c r="E23" s="5">
        <v>13</v>
      </c>
      <c r="F23" s="6">
        <v>2.2999999999999998</v>
      </c>
      <c r="G23" s="6" t="s">
        <v>9</v>
      </c>
      <c r="H23" s="7" t="s">
        <v>10</v>
      </c>
      <c r="I23" s="7"/>
      <c r="J23" s="7"/>
      <c r="K23" s="7"/>
      <c r="L23" s="7"/>
      <c r="M23" s="7"/>
    </row>
    <row r="24" spans="1:13" x14ac:dyDescent="0.2">
      <c r="A24" s="26"/>
      <c r="B24" s="20"/>
      <c r="C24" s="22" t="s">
        <v>21</v>
      </c>
      <c r="D24" s="25">
        <v>1.93</v>
      </c>
      <c r="E24" s="13">
        <v>1</v>
      </c>
      <c r="F24" s="14">
        <v>0</v>
      </c>
      <c r="G24" s="14" t="s">
        <v>8</v>
      </c>
      <c r="H24" s="15">
        <v>0.01</v>
      </c>
      <c r="I24" s="15"/>
      <c r="J24" s="15"/>
      <c r="K24" s="15"/>
      <c r="L24" s="15"/>
      <c r="M24" s="15"/>
    </row>
    <row r="25" spans="1:13" x14ac:dyDescent="0.2">
      <c r="A25" s="26"/>
      <c r="B25" s="20"/>
      <c r="C25" s="23"/>
      <c r="D25" s="26"/>
      <c r="E25" s="3">
        <f>E24+1</f>
        <v>2</v>
      </c>
      <c r="F25" s="11">
        <f>F24+($D$24/COUNT($E$24:$E$33))</f>
        <v>0.193</v>
      </c>
      <c r="G25" s="4">
        <f>(F26-F24)/2</f>
        <v>0.193</v>
      </c>
      <c r="H25">
        <v>0.03</v>
      </c>
    </row>
    <row r="26" spans="1:13" x14ac:dyDescent="0.2">
      <c r="A26" s="26"/>
      <c r="B26" s="20"/>
      <c r="C26" s="23"/>
      <c r="D26" s="26"/>
      <c r="E26" s="3">
        <f t="shared" ref="E26:E56" si="8">E25+1</f>
        <v>3</v>
      </c>
      <c r="F26" s="11">
        <f t="shared" ref="F26:F33" si="9">F25+($D$24/COUNT($E$24:$E$33))</f>
        <v>0.38600000000000001</v>
      </c>
      <c r="G26" s="4">
        <f t="shared" ref="G26:G32" si="10">(F27-F25)/2</f>
        <v>0.19299999999999998</v>
      </c>
      <c r="H26">
        <v>0.03</v>
      </c>
    </row>
    <row r="27" spans="1:13" x14ac:dyDescent="0.2">
      <c r="A27" s="26"/>
      <c r="B27" s="20"/>
      <c r="C27" s="23"/>
      <c r="D27" s="26"/>
      <c r="E27" s="3">
        <f t="shared" si="8"/>
        <v>4</v>
      </c>
      <c r="F27" s="11">
        <f t="shared" si="9"/>
        <v>0.57899999999999996</v>
      </c>
      <c r="G27" s="4">
        <f t="shared" si="10"/>
        <v>0.193</v>
      </c>
      <c r="H27">
        <v>0.04</v>
      </c>
    </row>
    <row r="28" spans="1:13" x14ac:dyDescent="0.2">
      <c r="A28" s="26"/>
      <c r="B28" s="20"/>
      <c r="C28" s="23"/>
      <c r="D28" s="26"/>
      <c r="E28" s="3">
        <f t="shared" si="8"/>
        <v>5</v>
      </c>
      <c r="F28" s="11">
        <f t="shared" si="9"/>
        <v>0.77200000000000002</v>
      </c>
      <c r="G28" s="4">
        <f t="shared" si="10"/>
        <v>0.19300000000000006</v>
      </c>
      <c r="H28">
        <v>5.5E-2</v>
      </c>
    </row>
    <row r="29" spans="1:13" x14ac:dyDescent="0.2">
      <c r="A29" s="26"/>
      <c r="B29" s="20"/>
      <c r="C29" s="23"/>
      <c r="D29" s="26"/>
      <c r="E29" s="3">
        <f t="shared" si="8"/>
        <v>6</v>
      </c>
      <c r="F29" s="11">
        <f t="shared" si="9"/>
        <v>0.96500000000000008</v>
      </c>
      <c r="G29" s="4">
        <f t="shared" si="10"/>
        <v>0.19300000000000006</v>
      </c>
      <c r="H29">
        <v>0.11</v>
      </c>
    </row>
    <row r="30" spans="1:13" x14ac:dyDescent="0.2">
      <c r="A30" s="26"/>
      <c r="B30" s="20"/>
      <c r="C30" s="23"/>
      <c r="D30" s="26"/>
      <c r="E30" s="3">
        <f t="shared" si="8"/>
        <v>7</v>
      </c>
      <c r="F30" s="11">
        <f t="shared" si="9"/>
        <v>1.1580000000000001</v>
      </c>
      <c r="G30" s="4">
        <f t="shared" si="10"/>
        <v>0.19300000000000006</v>
      </c>
      <c r="H30">
        <v>0.12</v>
      </c>
    </row>
    <row r="31" spans="1:13" x14ac:dyDescent="0.2">
      <c r="A31" s="26"/>
      <c r="B31" s="20"/>
      <c r="C31" s="23"/>
      <c r="D31" s="26"/>
      <c r="E31" s="3">
        <f t="shared" si="8"/>
        <v>8</v>
      </c>
      <c r="F31" s="11">
        <f t="shared" si="9"/>
        <v>1.3510000000000002</v>
      </c>
      <c r="G31" s="4">
        <f t="shared" si="10"/>
        <v>0.19300000000000006</v>
      </c>
      <c r="H31">
        <v>0.14000000000000001</v>
      </c>
    </row>
    <row r="32" spans="1:13" x14ac:dyDescent="0.2">
      <c r="A32" s="26"/>
      <c r="B32" s="20"/>
      <c r="C32" s="23"/>
      <c r="D32" s="26"/>
      <c r="E32" s="3">
        <f t="shared" si="8"/>
        <v>9</v>
      </c>
      <c r="F32" s="11">
        <f t="shared" si="9"/>
        <v>1.5440000000000003</v>
      </c>
      <c r="G32" s="4">
        <f t="shared" si="10"/>
        <v>0.19300000000000006</v>
      </c>
      <c r="H32">
        <v>0.15</v>
      </c>
    </row>
    <row r="33" spans="1:13" x14ac:dyDescent="0.2">
      <c r="A33" s="26"/>
      <c r="B33" s="20"/>
      <c r="C33" s="23"/>
      <c r="D33" s="26"/>
      <c r="E33" s="3">
        <f t="shared" si="8"/>
        <v>10</v>
      </c>
      <c r="F33" s="11">
        <f t="shared" si="9"/>
        <v>1.7370000000000003</v>
      </c>
      <c r="G33" s="4">
        <f>(F34-F32)/2</f>
        <v>0.19299999999999984</v>
      </c>
      <c r="H33">
        <v>0.12</v>
      </c>
    </row>
    <row r="34" spans="1:13" x14ac:dyDescent="0.2">
      <c r="A34" s="26"/>
      <c r="B34" s="20"/>
      <c r="C34" s="24"/>
      <c r="D34" s="27"/>
      <c r="E34" s="5">
        <f t="shared" si="8"/>
        <v>11</v>
      </c>
      <c r="F34" s="6">
        <v>1.93</v>
      </c>
      <c r="G34" s="6" t="s">
        <v>9</v>
      </c>
      <c r="H34" s="7" t="s">
        <v>10</v>
      </c>
      <c r="I34" s="7"/>
      <c r="J34" s="7"/>
      <c r="K34" s="7"/>
      <c r="L34" s="7"/>
      <c r="M34" s="7"/>
    </row>
    <row r="35" spans="1:13" x14ac:dyDescent="0.2">
      <c r="A35" s="26"/>
      <c r="B35" s="20"/>
      <c r="C35" s="28" t="s">
        <v>22</v>
      </c>
      <c r="D35" s="25">
        <v>2.1</v>
      </c>
      <c r="E35" s="13">
        <v>1</v>
      </c>
      <c r="F35" s="14">
        <v>0</v>
      </c>
      <c r="G35" s="14" t="s">
        <v>8</v>
      </c>
      <c r="H35" s="15">
        <v>0.01</v>
      </c>
      <c r="I35" s="15"/>
      <c r="J35" s="15"/>
      <c r="K35" s="15"/>
      <c r="L35" s="15"/>
      <c r="M35" s="15"/>
    </row>
    <row r="36" spans="1:13" x14ac:dyDescent="0.2">
      <c r="A36" s="26"/>
      <c r="B36" s="20"/>
      <c r="C36" s="29"/>
      <c r="D36" s="26"/>
      <c r="E36" s="3">
        <f>E35+1</f>
        <v>2</v>
      </c>
      <c r="F36" s="11">
        <f>F35+($D$35/COUNT($E$35:$E$43))</f>
        <v>0.23333333333333334</v>
      </c>
      <c r="G36" s="4">
        <f>(F37-F35)/2</f>
        <v>0.23333333333333334</v>
      </c>
      <c r="H36">
        <v>0.09</v>
      </c>
    </row>
    <row r="37" spans="1:13" x14ac:dyDescent="0.2">
      <c r="A37" s="26"/>
      <c r="B37" s="20"/>
      <c r="C37" s="29"/>
      <c r="D37" s="26"/>
      <c r="E37" s="3">
        <f t="shared" si="8"/>
        <v>3</v>
      </c>
      <c r="F37" s="11">
        <f t="shared" ref="F37:F43" si="11">F36+($D$35/COUNT($E$35:$E$43))</f>
        <v>0.46666666666666667</v>
      </c>
      <c r="G37" s="4">
        <f t="shared" ref="G37:G43" si="12">(F38-F36)/2</f>
        <v>0.23333333333333331</v>
      </c>
      <c r="H37">
        <v>0.11</v>
      </c>
    </row>
    <row r="38" spans="1:13" x14ac:dyDescent="0.2">
      <c r="A38" s="26"/>
      <c r="B38" s="20"/>
      <c r="C38" s="29"/>
      <c r="D38" s="26"/>
      <c r="E38" s="3">
        <f t="shared" si="8"/>
        <v>4</v>
      </c>
      <c r="F38" s="11">
        <f t="shared" si="11"/>
        <v>0.7</v>
      </c>
      <c r="G38" s="4">
        <f t="shared" si="12"/>
        <v>0.23333333333333334</v>
      </c>
      <c r="H38">
        <v>0.17</v>
      </c>
    </row>
    <row r="39" spans="1:13" x14ac:dyDescent="0.2">
      <c r="A39" s="26"/>
      <c r="B39" s="20"/>
      <c r="C39" s="29"/>
      <c r="D39" s="26"/>
      <c r="E39" s="3">
        <f t="shared" si="8"/>
        <v>5</v>
      </c>
      <c r="F39" s="11">
        <f t="shared" si="11"/>
        <v>0.93333333333333335</v>
      </c>
      <c r="G39" s="4">
        <f t="shared" si="12"/>
        <v>0.23333333333333339</v>
      </c>
      <c r="H39">
        <v>0.24</v>
      </c>
    </row>
    <row r="40" spans="1:13" x14ac:dyDescent="0.2">
      <c r="A40" s="26"/>
      <c r="B40" s="20"/>
      <c r="C40" s="29"/>
      <c r="D40" s="26"/>
      <c r="E40" s="3">
        <f t="shared" si="8"/>
        <v>6</v>
      </c>
      <c r="F40" s="11">
        <f t="shared" si="11"/>
        <v>1.1666666666666667</v>
      </c>
      <c r="G40" s="4">
        <f t="shared" si="12"/>
        <v>0.23333333333333339</v>
      </c>
      <c r="H40">
        <v>0.28999999999999998</v>
      </c>
    </row>
    <row r="41" spans="1:13" x14ac:dyDescent="0.2">
      <c r="A41" s="26"/>
      <c r="B41" s="20"/>
      <c r="C41" s="29"/>
      <c r="D41" s="26"/>
      <c r="E41" s="3">
        <f t="shared" si="8"/>
        <v>7</v>
      </c>
      <c r="F41" s="11">
        <f t="shared" si="11"/>
        <v>1.4000000000000001</v>
      </c>
      <c r="G41" s="4">
        <f t="shared" si="12"/>
        <v>0.23333333333333339</v>
      </c>
      <c r="H41">
        <v>0.36</v>
      </c>
    </row>
    <row r="42" spans="1:13" x14ac:dyDescent="0.2">
      <c r="A42" s="26"/>
      <c r="B42" s="20"/>
      <c r="C42" s="29"/>
      <c r="D42" s="26"/>
      <c r="E42" s="3">
        <f t="shared" si="8"/>
        <v>8</v>
      </c>
      <c r="F42" s="11">
        <f t="shared" si="11"/>
        <v>1.6333333333333335</v>
      </c>
      <c r="G42" s="4">
        <f t="shared" si="12"/>
        <v>0.23333333333333339</v>
      </c>
      <c r="H42">
        <v>0.4</v>
      </c>
    </row>
    <row r="43" spans="1:13" x14ac:dyDescent="0.2">
      <c r="A43" s="26"/>
      <c r="B43" s="20"/>
      <c r="C43" s="29"/>
      <c r="D43" s="26"/>
      <c r="E43" s="3">
        <f t="shared" si="8"/>
        <v>9</v>
      </c>
      <c r="F43" s="11">
        <f t="shared" si="11"/>
        <v>1.8666666666666669</v>
      </c>
      <c r="G43" s="4">
        <f t="shared" si="12"/>
        <v>0.23333333333333328</v>
      </c>
      <c r="H43">
        <v>0.41</v>
      </c>
    </row>
    <row r="44" spans="1:13" x14ac:dyDescent="0.2">
      <c r="A44" s="26"/>
      <c r="B44" s="20"/>
      <c r="C44" s="30"/>
      <c r="D44" s="27"/>
      <c r="E44" s="5">
        <f t="shared" si="8"/>
        <v>10</v>
      </c>
      <c r="F44" s="6">
        <v>2.1</v>
      </c>
      <c r="G44" s="6" t="s">
        <v>9</v>
      </c>
      <c r="H44" s="7" t="s">
        <v>10</v>
      </c>
      <c r="I44" s="7"/>
      <c r="J44" s="7"/>
      <c r="K44" s="7"/>
      <c r="L44" s="7"/>
      <c r="M44" s="7"/>
    </row>
    <row r="45" spans="1:13" x14ac:dyDescent="0.2">
      <c r="A45" s="26"/>
      <c r="B45" s="20"/>
      <c r="C45" s="22" t="s">
        <v>23</v>
      </c>
      <c r="D45" s="25">
        <v>1.94</v>
      </c>
      <c r="E45" s="13">
        <v>1</v>
      </c>
      <c r="F45" s="14">
        <v>0</v>
      </c>
      <c r="G45" s="14" t="s">
        <v>8</v>
      </c>
      <c r="H45" s="15">
        <v>0.02</v>
      </c>
      <c r="I45" s="15"/>
      <c r="J45" s="15"/>
      <c r="K45" s="15"/>
      <c r="L45" s="15"/>
      <c r="M45" s="15"/>
    </row>
    <row r="46" spans="1:13" x14ac:dyDescent="0.2">
      <c r="A46" s="26"/>
      <c r="B46" s="20"/>
      <c r="C46" s="31"/>
      <c r="D46" s="26"/>
      <c r="E46" s="3">
        <f>E45+1</f>
        <v>2</v>
      </c>
      <c r="F46" s="11">
        <f>F45+($D$45/COUNT($E$45:$E$55))</f>
        <v>0.17636363636363636</v>
      </c>
      <c r="G46" s="4">
        <f>(F47-F45)/2</f>
        <v>0.17636363636363636</v>
      </c>
      <c r="H46">
        <v>0.06</v>
      </c>
    </row>
    <row r="47" spans="1:13" x14ac:dyDescent="0.2">
      <c r="A47" s="26"/>
      <c r="B47" s="20"/>
      <c r="C47" s="31"/>
      <c r="D47" s="26"/>
      <c r="E47" s="3">
        <f t="shared" si="8"/>
        <v>3</v>
      </c>
      <c r="F47" s="11">
        <f t="shared" ref="F47:F55" si="13">F46+($D$45/COUNT($E$45:$E$55))</f>
        <v>0.35272727272727272</v>
      </c>
      <c r="G47" s="4">
        <f t="shared" ref="G47:G55" si="14">(F48-F46)/2</f>
        <v>0.17636363636363633</v>
      </c>
      <c r="H47">
        <v>0.09</v>
      </c>
    </row>
    <row r="48" spans="1:13" x14ac:dyDescent="0.2">
      <c r="A48" s="26"/>
      <c r="B48" s="20"/>
      <c r="C48" s="31"/>
      <c r="D48" s="26"/>
      <c r="E48" s="3">
        <f t="shared" si="8"/>
        <v>4</v>
      </c>
      <c r="F48" s="11">
        <f t="shared" si="13"/>
        <v>0.52909090909090906</v>
      </c>
      <c r="G48" s="4">
        <f t="shared" si="14"/>
        <v>0.17636363636363636</v>
      </c>
      <c r="H48">
        <v>0.08</v>
      </c>
    </row>
    <row r="49" spans="1:13" x14ac:dyDescent="0.2">
      <c r="A49" s="26"/>
      <c r="B49" s="20"/>
      <c r="C49" s="31"/>
      <c r="D49" s="26"/>
      <c r="E49" s="3">
        <f t="shared" si="8"/>
        <v>5</v>
      </c>
      <c r="F49" s="11">
        <f t="shared" si="13"/>
        <v>0.70545454545454545</v>
      </c>
      <c r="G49" s="4">
        <f t="shared" si="14"/>
        <v>0.17636363636363639</v>
      </c>
      <c r="H49">
        <v>0.09</v>
      </c>
    </row>
    <row r="50" spans="1:13" x14ac:dyDescent="0.2">
      <c r="A50" s="26"/>
      <c r="B50" s="20"/>
      <c r="C50" s="31"/>
      <c r="D50" s="26"/>
      <c r="E50" s="3">
        <f t="shared" si="8"/>
        <v>6</v>
      </c>
      <c r="F50" s="11">
        <f t="shared" si="13"/>
        <v>0.88181818181818183</v>
      </c>
      <c r="G50" s="4">
        <f t="shared" si="14"/>
        <v>0.17636363636363633</v>
      </c>
      <c r="H50">
        <v>0.12</v>
      </c>
    </row>
    <row r="51" spans="1:13" x14ac:dyDescent="0.2">
      <c r="A51" s="26"/>
      <c r="B51" s="20"/>
      <c r="C51" s="31"/>
      <c r="D51" s="26"/>
      <c r="E51" s="3">
        <f t="shared" si="8"/>
        <v>7</v>
      </c>
      <c r="F51" s="11">
        <f t="shared" si="13"/>
        <v>1.0581818181818181</v>
      </c>
      <c r="G51" s="4">
        <f t="shared" si="14"/>
        <v>0.17636363636363628</v>
      </c>
      <c r="H51">
        <v>0.11</v>
      </c>
    </row>
    <row r="52" spans="1:13" x14ac:dyDescent="0.2">
      <c r="A52" s="26"/>
      <c r="B52" s="20"/>
      <c r="C52" s="31"/>
      <c r="D52" s="26"/>
      <c r="E52" s="3">
        <f t="shared" si="8"/>
        <v>8</v>
      </c>
      <c r="F52" s="11">
        <f t="shared" si="13"/>
        <v>1.2345454545454544</v>
      </c>
      <c r="G52" s="4">
        <f t="shared" si="14"/>
        <v>0.17636363636363628</v>
      </c>
      <c r="H52">
        <v>0.11</v>
      </c>
    </row>
    <row r="53" spans="1:13" x14ac:dyDescent="0.2">
      <c r="A53" s="26"/>
      <c r="B53" s="20"/>
      <c r="C53" s="31"/>
      <c r="D53" s="26"/>
      <c r="E53" s="3">
        <f t="shared" si="8"/>
        <v>9</v>
      </c>
      <c r="F53" s="11">
        <f t="shared" si="13"/>
        <v>1.4109090909090907</v>
      </c>
      <c r="G53" s="4">
        <f t="shared" si="14"/>
        <v>0.17636363636363628</v>
      </c>
      <c r="H53">
        <v>0.11</v>
      </c>
    </row>
    <row r="54" spans="1:13" x14ac:dyDescent="0.2">
      <c r="A54" s="26"/>
      <c r="B54" s="20"/>
      <c r="C54" s="31"/>
      <c r="D54" s="26"/>
      <c r="E54" s="3">
        <f t="shared" si="8"/>
        <v>10</v>
      </c>
      <c r="F54" s="11">
        <f t="shared" si="13"/>
        <v>1.5872727272727269</v>
      </c>
      <c r="G54" s="4">
        <f t="shared" si="14"/>
        <v>0.17636363636363628</v>
      </c>
      <c r="H54">
        <v>0.1</v>
      </c>
    </row>
    <row r="55" spans="1:13" x14ac:dyDescent="0.2">
      <c r="A55" s="26"/>
      <c r="B55" s="20"/>
      <c r="C55" s="31"/>
      <c r="D55" s="26"/>
      <c r="E55" s="3">
        <f t="shared" si="8"/>
        <v>11</v>
      </c>
      <c r="F55" s="11">
        <f t="shared" si="13"/>
        <v>1.7636363636363632</v>
      </c>
      <c r="G55" s="4">
        <f t="shared" si="14"/>
        <v>0.1763636363636365</v>
      </c>
      <c r="H55">
        <v>0.05</v>
      </c>
    </row>
    <row r="56" spans="1:13" x14ac:dyDescent="0.2">
      <c r="A56" s="26"/>
      <c r="B56" s="20"/>
      <c r="C56" s="32"/>
      <c r="D56" s="27"/>
      <c r="E56" s="5">
        <f t="shared" si="8"/>
        <v>12</v>
      </c>
      <c r="F56" s="6">
        <v>1.94</v>
      </c>
      <c r="G56" s="6" t="s">
        <v>9</v>
      </c>
      <c r="H56" s="7" t="s">
        <v>10</v>
      </c>
      <c r="I56" s="7"/>
      <c r="J56" s="7"/>
      <c r="K56" s="7"/>
      <c r="L56" s="7"/>
      <c r="M56" s="7"/>
    </row>
    <row r="57" spans="1:13" x14ac:dyDescent="0.2">
      <c r="A57" s="26"/>
      <c r="B57" s="20"/>
      <c r="C57" s="28" t="s">
        <v>24</v>
      </c>
      <c r="D57" s="25">
        <v>1.25</v>
      </c>
      <c r="E57" s="13">
        <v>1</v>
      </c>
      <c r="F57" s="16">
        <v>0</v>
      </c>
      <c r="G57" s="14" t="s">
        <v>8</v>
      </c>
      <c r="H57" s="15" t="s">
        <v>10</v>
      </c>
      <c r="I57" s="15"/>
      <c r="J57" s="15"/>
      <c r="K57" s="15"/>
      <c r="L57" s="15"/>
      <c r="M57" s="15"/>
    </row>
    <row r="58" spans="1:13" x14ac:dyDescent="0.2">
      <c r="A58" s="26"/>
      <c r="B58" s="20"/>
      <c r="C58" s="29"/>
      <c r="D58" s="26"/>
      <c r="E58" s="3">
        <f>E57+1</f>
        <v>2</v>
      </c>
      <c r="F58" s="11">
        <f>F57+($D$57/COUNT($E$57:$E$63))</f>
        <v>0.17857142857142858</v>
      </c>
      <c r="G58" s="4">
        <f>(F59-F57)/2</f>
        <v>0.17857142857142858</v>
      </c>
      <c r="H58">
        <v>0.09</v>
      </c>
    </row>
    <row r="59" spans="1:13" x14ac:dyDescent="0.2">
      <c r="A59" s="26"/>
      <c r="B59" s="20"/>
      <c r="C59" s="29"/>
      <c r="D59" s="26"/>
      <c r="E59" s="3">
        <f t="shared" ref="E59:E64" si="15">E58+1</f>
        <v>3</v>
      </c>
      <c r="F59" s="11">
        <f t="shared" ref="F59:F63" si="16">F58+($D$57/COUNT($E$57:$E$63))</f>
        <v>0.35714285714285715</v>
      </c>
      <c r="G59" s="4">
        <f t="shared" ref="G59:G63" si="17">(F60-F58)/2</f>
        <v>0.17857142857142855</v>
      </c>
      <c r="H59">
        <v>0.13</v>
      </c>
    </row>
    <row r="60" spans="1:13" x14ac:dyDescent="0.2">
      <c r="A60" s="26"/>
      <c r="B60" s="20"/>
      <c r="C60" s="29"/>
      <c r="D60" s="26"/>
      <c r="E60" s="3">
        <f t="shared" si="15"/>
        <v>4</v>
      </c>
      <c r="F60" s="11">
        <f t="shared" si="16"/>
        <v>0.5357142857142857</v>
      </c>
      <c r="G60" s="4">
        <f t="shared" si="17"/>
        <v>0.17857142857142858</v>
      </c>
      <c r="H60">
        <v>0.16</v>
      </c>
    </row>
    <row r="61" spans="1:13" x14ac:dyDescent="0.2">
      <c r="A61" s="26"/>
      <c r="B61" s="20"/>
      <c r="C61" s="29"/>
      <c r="D61" s="26"/>
      <c r="E61" s="3">
        <f t="shared" si="15"/>
        <v>5</v>
      </c>
      <c r="F61" s="11">
        <f t="shared" si="16"/>
        <v>0.7142857142857143</v>
      </c>
      <c r="G61" s="4">
        <f t="shared" si="17"/>
        <v>0.1785714285714286</v>
      </c>
      <c r="H61">
        <v>0.18</v>
      </c>
    </row>
    <row r="62" spans="1:13" x14ac:dyDescent="0.2">
      <c r="A62" s="26"/>
      <c r="B62" s="20"/>
      <c r="C62" s="29"/>
      <c r="D62" s="26"/>
      <c r="E62" s="3">
        <f t="shared" si="15"/>
        <v>6</v>
      </c>
      <c r="F62" s="11">
        <f t="shared" si="16"/>
        <v>0.8928571428571429</v>
      </c>
      <c r="G62" s="4">
        <f t="shared" si="17"/>
        <v>0.17857142857142855</v>
      </c>
      <c r="H62">
        <v>0.21</v>
      </c>
    </row>
    <row r="63" spans="1:13" x14ac:dyDescent="0.2">
      <c r="A63" s="26"/>
      <c r="B63" s="20"/>
      <c r="C63" s="29"/>
      <c r="D63" s="26"/>
      <c r="E63" s="3">
        <f t="shared" si="15"/>
        <v>7</v>
      </c>
      <c r="F63" s="11">
        <f t="shared" si="16"/>
        <v>1.0714285714285714</v>
      </c>
      <c r="G63" s="4">
        <f t="shared" si="17"/>
        <v>0.17857142857142855</v>
      </c>
      <c r="H63">
        <v>0.17</v>
      </c>
    </row>
    <row r="64" spans="1:13" x14ac:dyDescent="0.2">
      <c r="A64" s="27"/>
      <c r="B64" s="21"/>
      <c r="C64" s="30"/>
      <c r="D64" s="27"/>
      <c r="E64" s="5">
        <f t="shared" si="15"/>
        <v>8</v>
      </c>
      <c r="F64" s="12">
        <v>1.25</v>
      </c>
      <c r="G64" s="6" t="s">
        <v>9</v>
      </c>
      <c r="H64" s="7" t="s">
        <v>10</v>
      </c>
      <c r="I64" s="7"/>
      <c r="J64" s="7"/>
      <c r="K64" s="7"/>
      <c r="L64" s="7"/>
      <c r="M64" s="7"/>
    </row>
    <row r="65" spans="1:8" x14ac:dyDescent="0.2">
      <c r="A65" s="18" t="s">
        <v>18</v>
      </c>
      <c r="B65" s="18"/>
      <c r="C65" s="18"/>
      <c r="D65" s="18"/>
      <c r="E65" s="18"/>
      <c r="F65" s="18"/>
      <c r="G65" s="18"/>
      <c r="H65" s="17">
        <f>AVERAGE(H2:H63)</f>
        <v>0.11205357142857142</v>
      </c>
    </row>
  </sheetData>
  <mergeCells count="18">
    <mergeCell ref="L2:L10"/>
    <mergeCell ref="M2:M10"/>
    <mergeCell ref="A2:A64"/>
    <mergeCell ref="B11:B64"/>
    <mergeCell ref="C57:C64"/>
    <mergeCell ref="D57:D64"/>
    <mergeCell ref="A65:G65"/>
    <mergeCell ref="B2:B10"/>
    <mergeCell ref="C24:C34"/>
    <mergeCell ref="D24:D34"/>
    <mergeCell ref="C35:C44"/>
    <mergeCell ref="D35:D44"/>
    <mergeCell ref="C45:C56"/>
    <mergeCell ref="C2:C10"/>
    <mergeCell ref="D2:D10"/>
    <mergeCell ref="C11:C23"/>
    <mergeCell ref="D11:D23"/>
    <mergeCell ref="D45:D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Kelly, Michelle Catherine</dc:creator>
  <cp:lastModifiedBy>Kelly, Michelle Catherine</cp:lastModifiedBy>
  <dcterms:created xsi:type="dcterms:W3CDTF">2023-02-15T18:39:02Z</dcterms:created>
  <dcterms:modified xsi:type="dcterms:W3CDTF">2023-07-28T18:04:04Z</dcterms:modified>
</cp:coreProperties>
</file>