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lle/Google Drive/PhD/Research/Analysis_Chapter1_CAREERProject/CAREER_DataAnalysis/data/metabolism/parameters/raw/rawData_KingsCreekKS_2018/"/>
    </mc:Choice>
  </mc:AlternateContent>
  <xr:revisionPtr revIDLastSave="0" documentId="13_ncr:1_{D859F6D5-F8CF-0C40-B195-99D36FABBFF1}" xr6:coauthVersionLast="47" xr6:coauthVersionMax="47" xr10:uidLastSave="{00000000-0000-0000-0000-000000000000}"/>
  <bookViews>
    <workbookView xWindow="220" yWindow="500" windowWidth="14920" windowHeight="16860" xr2:uid="{C843D877-E56F-5344-8834-48A54D88B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1" l="1"/>
  <c r="G66" i="1"/>
  <c r="G65" i="1"/>
  <c r="G64" i="1"/>
  <c r="G63" i="1"/>
  <c r="G58" i="1"/>
  <c r="G59" i="1"/>
  <c r="G60" i="1"/>
  <c r="G51" i="1"/>
  <c r="G52" i="1"/>
  <c r="G53" i="1"/>
  <c r="G54" i="1"/>
  <c r="G55" i="1"/>
  <c r="G56" i="1"/>
  <c r="G57" i="1"/>
  <c r="G61" i="1"/>
  <c r="G6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</calcChain>
</file>

<file path=xl/sharedStrings.xml><?xml version="1.0" encoding="utf-8"?>
<sst xmlns="http://schemas.openxmlformats.org/spreadsheetml/2006/main" count="11" uniqueCount="11">
  <si>
    <t>Date</t>
  </si>
  <si>
    <t>Site</t>
  </si>
  <si>
    <t>Distance from bank (m)</t>
  </si>
  <si>
    <t>Transect number</t>
  </si>
  <si>
    <t>Depth at point (m)</t>
  </si>
  <si>
    <t>Total wetted width (m)</t>
  </si>
  <si>
    <t>MEAN</t>
  </si>
  <si>
    <t>Kings Creek 2018</t>
  </si>
  <si>
    <t xml:space="preserve">4
</t>
  </si>
  <si>
    <t>Depth at point (cm)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</si>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</sst>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164" fontId="1" fillId="0" borderId="2" xfId="0" applyNumberFormat="1" applyFont="1" applyBorder="1" applyAlignment="1">
      <alignment horizontal="right"/>
    </xf>
    <xf numFmtId="164" fontId="0" fillId="0" borderId="2" xfId="0" applyNumberFormat="1" applyBorder="1" applyAlignment="1">
      <alignment horizontal="center" vertical="top"/>
    </xf>
    <xf numFmtId="1" fontId="0" fillId="0" borderId="2" xfId="0" applyNumberFormat="1" applyBorder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1" fontId="0" fillId="0" borderId="1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2" fillId="0" borderId="2" xfId="0" applyNumberFormat="1" applyFont="1" applyBorder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164" fontId="0" fillId="0" borderId="0" xfId="0" applyNumberForma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64" fontId="0" fillId="0" borderId="0" xfId="0" applyNumberFormat="1" applyBorder="1" applyAlignment="1">
      <alignment horizontal="center" vertical="top"/>
    </xf>
    <xf numFmtId="1" fontId="2" fillId="0" borderId="0" xfId="0" applyNumberFormat="1" applyFont="1" applyBorder="1" applyAlignment="1">
      <alignment horizontal="center" vertical="top" wrapText="1"/>
    </xf>
    <xf numFmtId="165" fontId="0" fillId="0" borderId="0" xfId="0" applyNumberFormat="1" applyBorder="1"/>
    <xf numFmtId="2" fontId="0" fillId="0" borderId="0" xfId="0" applyNumberFormat="1" applyBorder="1"/>
    <xf numFmtId="0" fontId="0" fillId="0" borderId="0" xfId="0" applyBorder="1"/>
    <xf numFmtId="164" fontId="1" fillId="0" borderId="0" xfId="0" applyNumberFormat="1" applyFont="1" applyBorder="1" applyAlignment="1">
      <alignment horizontal="right"/>
    </xf>
    <xf numFmtId="1" fontId="0" fillId="0" borderId="0" xfId="0" applyNumberFormat="1" applyBorder="1"/>
    <xf numFmtId="1" fontId="0" fillId="0" borderId="0" xfId="0" applyNumberFormat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2" fontId="0" fillId="0" borderId="0" xfId="0" applyNumberFormat="1" applyFill="1" applyBorder="1"/>
    <xf numFmtId="1" fontId="2" fillId="0" borderId="0" xfId="0" applyNumberFormat="1" applyFont="1" applyBorder="1" applyAlignment="1">
      <alignment horizontal="center" vertical="top" wrapText="1"/>
    </xf>
    <xf numFmtId="0" fontId="0" fillId="0" borderId="0" xfId="0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tx>
            <c:strRef>
              <c:f>Sheet1!$C$2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Sheet1!$E$2:$E$10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1.7</c:v>
                </c:pt>
              </c:numCache>
            </c:numRef>
          </c:xVal>
          <c:yVal>
            <c:numRef>
              <c:f>Sheet1!$G$2:$G$10</c:f>
              <c:numCache>
                <c:formatCode>General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</c:v>
                </c:pt>
                <c:pt idx="6">
                  <c:v>0.06</c:v>
                </c:pt>
                <c:pt idx="7">
                  <c:v>0.03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836-EA42-951D-56DA6490EA38}"/>
            </c:ext>
          </c:extLst>
        </c:ser>
        <c:ser>
          <c:idx val="1"/>
          <c:order val="1"/>
          <c:tx>
            <c:strRef>
              <c:f>Sheet1!$C$11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Sheet1!$E$11:$E$18</c:f>
              <c:numCache>
                <c:formatCode>0.00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Sheet1!$G$11:$G$18</c:f>
              <c:numCache>
                <c:formatCode>General</c:formatCode>
                <c:ptCount val="8"/>
                <c:pt idx="0">
                  <c:v>0</c:v>
                </c:pt>
                <c:pt idx="1">
                  <c:v>0.26</c:v>
                </c:pt>
                <c:pt idx="2">
                  <c:v>0.45</c:v>
                </c:pt>
                <c:pt idx="3">
                  <c:v>0.5</c:v>
                </c:pt>
                <c:pt idx="4">
                  <c:v>0.45</c:v>
                </c:pt>
                <c:pt idx="5">
                  <c:v>0.3</c:v>
                </c:pt>
                <c:pt idx="6">
                  <c:v>0.14000000000000001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36-EA42-951D-56DA6490EA38}"/>
            </c:ext>
          </c:extLst>
        </c:ser>
        <c:ser>
          <c:idx val="0"/>
          <c:order val="2"/>
          <c:tx>
            <c:strRef>
              <c:f>Sheet1!$C$19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Sheet1!$E$19:$E$29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4.7</c:v>
                </c:pt>
              </c:numCache>
            </c:numRef>
          </c:xVal>
          <c:yVal>
            <c:numRef>
              <c:f>Sheet1!$G$19:$G$29</c:f>
              <c:numCache>
                <c:formatCode>General</c:formatCode>
                <c:ptCount val="11"/>
                <c:pt idx="0">
                  <c:v>0</c:v>
                </c:pt>
                <c:pt idx="1">
                  <c:v>0.3</c:v>
                </c:pt>
                <c:pt idx="2">
                  <c:v>0.52</c:v>
                </c:pt>
                <c:pt idx="3">
                  <c:v>0.53</c:v>
                </c:pt>
                <c:pt idx="4">
                  <c:v>0.47</c:v>
                </c:pt>
                <c:pt idx="5">
                  <c:v>0.42</c:v>
                </c:pt>
                <c:pt idx="6">
                  <c:v>0.38</c:v>
                </c:pt>
                <c:pt idx="7">
                  <c:v>0.28000000000000003</c:v>
                </c:pt>
                <c:pt idx="8">
                  <c:v>0.2</c:v>
                </c:pt>
                <c:pt idx="9">
                  <c:v>7.0000000000000007E-2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36-EA42-951D-56DA6490EA38}"/>
            </c:ext>
          </c:extLst>
        </c:ser>
        <c:ser>
          <c:idx val="2"/>
          <c:order val="3"/>
          <c:tx>
            <c:strRef>
              <c:f>Sheet1!$C$30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Sheet1!$E$30:$E$39</c:f>
              <c:numCache>
                <c:formatCode>0.00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4.0999999999999996</c:v>
                </c:pt>
              </c:numCache>
            </c:numRef>
          </c:xVal>
          <c:yVal>
            <c:numRef>
              <c:f>Sheet1!$G$30:$G$39</c:f>
              <c:numCache>
                <c:formatCode>General</c:formatCode>
                <c:ptCount val="10"/>
                <c:pt idx="0">
                  <c:v>0.22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</c:v>
                </c:pt>
                <c:pt idx="5">
                  <c:v>0.23</c:v>
                </c:pt>
                <c:pt idx="6">
                  <c:v>0.18</c:v>
                </c:pt>
                <c:pt idx="7">
                  <c:v>0.13</c:v>
                </c:pt>
                <c:pt idx="8">
                  <c:v>0.03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36-EA42-951D-56DA6490EA38}"/>
            </c:ext>
          </c:extLst>
        </c:ser>
        <c:ser>
          <c:idx val="3"/>
          <c:order val="4"/>
          <c:tx>
            <c:strRef>
              <c:f>Sheet1!$C$40</c:f>
              <c:strCache>
                <c:ptCount val="1"/>
                <c:pt idx="0">
                  <c:v>4
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Sheet1!$E$40:$E$52</c:f>
              <c:numCache>
                <c:formatCode>0.00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Sheet1!$G$40:$G$52</c:f>
              <c:numCache>
                <c:formatCode>General</c:formatCode>
                <c:ptCount val="13"/>
                <c:pt idx="0">
                  <c:v>0</c:v>
                </c:pt>
                <c:pt idx="1">
                  <c:v>0.28000000000000003</c:v>
                </c:pt>
                <c:pt idx="2">
                  <c:v>0.35</c:v>
                </c:pt>
                <c:pt idx="3">
                  <c:v>0.36</c:v>
                </c:pt>
                <c:pt idx="4">
                  <c:v>0.34</c:v>
                </c:pt>
                <c:pt idx="5">
                  <c:v>0.37</c:v>
                </c:pt>
                <c:pt idx="6">
                  <c:v>0.4</c:v>
                </c:pt>
                <c:pt idx="7">
                  <c:v>0.42</c:v>
                </c:pt>
                <c:pt idx="8">
                  <c:v>0.42</c:v>
                </c:pt>
                <c:pt idx="9">
                  <c:v>0.37</c:v>
                </c:pt>
                <c:pt idx="10">
                  <c:v>0.31</c:v>
                </c:pt>
                <c:pt idx="11">
                  <c:v>0.16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836-EA42-951D-56DA6490EA38}"/>
            </c:ext>
          </c:extLst>
        </c:ser>
        <c:ser>
          <c:idx val="4"/>
          <c:order val="5"/>
          <c:tx>
            <c:strRef>
              <c:f>Sheet1!$C$53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Sheet1!$E$53:$E$58</c:f>
              <c:numCache>
                <c:formatCode>0.00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Sheet1!$G$53:$G$58</c:f>
              <c:numCache>
                <c:formatCode>General</c:formatCode>
                <c:ptCount val="6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0.06</c:v>
                </c:pt>
                <c:pt idx="4">
                  <c:v>0.04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836-EA42-951D-56DA6490E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165183"/>
        <c:axId val="2063407263"/>
      </c:scatterChart>
      <c:valAx>
        <c:axId val="2045165183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bank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07263"/>
        <c:crosses val="autoZero"/>
        <c:crossBetween val="midCat"/>
      </c:valAx>
      <c:valAx>
        <c:axId val="206340726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16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0</xdr:row>
      <xdr:rowOff>139700</xdr:rowOff>
    </xdr:from>
    <xdr:to>
      <xdr:col>14</xdr:col>
      <xdr:colOff>228600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6E90C-7A56-12B2-6D05-803330CD7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FDC4-0503-E140-B9A7-88B80A80607D}">
  <dimension ref="A1:H82"/>
  <sheetViews>
    <sheetView tabSelected="1" topLeftCell="A54" workbookViewId="0">
      <selection activeCell="G73" sqref="G73"/>
    </sheetView>
  </sheetViews>
  <sheetFormatPr baseColWidth="10" defaultRowHeight="16" x14ac:dyDescent="0.2"/>
  <cols>
    <col min="1" max="1" width="19.5" bestFit="1" customWidth="1"/>
    <col min="2" max="2" width="10.83203125" style="1"/>
    <col min="3" max="3" width="10.83203125" style="2"/>
    <col min="4" max="4" width="15.83203125" customWidth="1"/>
    <col min="5" max="6" width="13.1640625" customWidth="1"/>
  </cols>
  <sheetData>
    <row r="1" spans="1:7" ht="51" customHeight="1" x14ac:dyDescent="0.2">
      <c r="A1" s="6" t="s">
        <v>1</v>
      </c>
      <c r="B1" s="4" t="s">
        <v>0</v>
      </c>
      <c r="C1" s="5" t="s">
        <v>3</v>
      </c>
      <c r="D1" s="6" t="s">
        <v>5</v>
      </c>
      <c r="E1" s="6" t="s">
        <v>2</v>
      </c>
      <c r="F1" s="6" t="s">
        <v>9</v>
      </c>
      <c r="G1" s="6" t="s">
        <v>4</v>
      </c>
    </row>
    <row r="2" spans="1:7" x14ac:dyDescent="0.2">
      <c r="A2" s="13" t="s">
        <v>7</v>
      </c>
      <c r="B2" s="9">
        <v>43262</v>
      </c>
      <c r="C2" s="10">
        <v>0</v>
      </c>
      <c r="D2" s="13">
        <v>1.7</v>
      </c>
      <c r="E2" s="3">
        <v>0</v>
      </c>
      <c r="F2" s="3">
        <v>0</v>
      </c>
      <c r="G2">
        <f>F2/100</f>
        <v>0</v>
      </c>
    </row>
    <row r="3" spans="1:7" x14ac:dyDescent="0.2">
      <c r="A3" s="14"/>
      <c r="B3" s="19"/>
      <c r="C3" s="11"/>
      <c r="D3" s="14"/>
      <c r="E3" s="24">
        <v>0.2</v>
      </c>
      <c r="F3" s="24">
        <v>10</v>
      </c>
      <c r="G3" s="25">
        <f t="shared" ref="G3:G29" si="0">F3/100</f>
        <v>0.1</v>
      </c>
    </row>
    <row r="4" spans="1:7" x14ac:dyDescent="0.2">
      <c r="A4" s="14"/>
      <c r="B4" s="19"/>
      <c r="C4" s="11"/>
      <c r="D4" s="14"/>
      <c r="E4" s="24">
        <v>0.4</v>
      </c>
      <c r="F4" s="24">
        <v>16</v>
      </c>
      <c r="G4" s="25">
        <f t="shared" si="0"/>
        <v>0.16</v>
      </c>
    </row>
    <row r="5" spans="1:7" x14ac:dyDescent="0.2">
      <c r="A5" s="14"/>
      <c r="B5" s="19"/>
      <c r="C5" s="11"/>
      <c r="D5" s="14"/>
      <c r="E5" s="24">
        <v>0.6</v>
      </c>
      <c r="F5" s="24">
        <v>16</v>
      </c>
      <c r="G5" s="25">
        <f t="shared" si="0"/>
        <v>0.16</v>
      </c>
    </row>
    <row r="6" spans="1:7" x14ac:dyDescent="0.2">
      <c r="A6" s="14"/>
      <c r="B6" s="19"/>
      <c r="C6" s="11"/>
      <c r="D6" s="14"/>
      <c r="E6" s="24">
        <v>0.8</v>
      </c>
      <c r="F6" s="24">
        <v>16</v>
      </c>
      <c r="G6" s="25">
        <f t="shared" si="0"/>
        <v>0.16</v>
      </c>
    </row>
    <row r="7" spans="1:7" x14ac:dyDescent="0.2">
      <c r="A7" s="14"/>
      <c r="B7" s="19"/>
      <c r="C7" s="11"/>
      <c r="D7" s="14"/>
      <c r="E7" s="24">
        <v>1</v>
      </c>
      <c r="F7" s="24">
        <v>10</v>
      </c>
      <c r="G7" s="25">
        <f t="shared" si="0"/>
        <v>0.1</v>
      </c>
    </row>
    <row r="8" spans="1:7" x14ac:dyDescent="0.2">
      <c r="A8" s="14"/>
      <c r="B8" s="19"/>
      <c r="C8" s="11"/>
      <c r="D8" s="14"/>
      <c r="E8" s="24">
        <v>1.2</v>
      </c>
      <c r="F8" s="24">
        <v>6</v>
      </c>
      <c r="G8" s="25">
        <f t="shared" si="0"/>
        <v>0.06</v>
      </c>
    </row>
    <row r="9" spans="1:7" x14ac:dyDescent="0.2">
      <c r="A9" s="14"/>
      <c r="B9" s="19"/>
      <c r="C9" s="11"/>
      <c r="D9" s="14"/>
      <c r="E9" s="24">
        <v>1.4</v>
      </c>
      <c r="F9" s="24">
        <v>3</v>
      </c>
      <c r="G9" s="25">
        <f t="shared" si="0"/>
        <v>0.03</v>
      </c>
    </row>
    <row r="10" spans="1:7" x14ac:dyDescent="0.2">
      <c r="A10" s="14"/>
      <c r="B10" s="19"/>
      <c r="C10" s="12"/>
      <c r="D10" s="15"/>
      <c r="E10" s="24">
        <v>1.7</v>
      </c>
      <c r="F10" s="25">
        <v>0</v>
      </c>
      <c r="G10" s="25">
        <f t="shared" si="0"/>
        <v>0</v>
      </c>
    </row>
    <row r="11" spans="1:7" x14ac:dyDescent="0.2">
      <c r="A11" s="14"/>
      <c r="B11" s="19"/>
      <c r="C11" s="11">
        <v>1</v>
      </c>
      <c r="D11" s="14">
        <v>3.5</v>
      </c>
      <c r="E11" s="24">
        <v>0</v>
      </c>
      <c r="F11" s="24">
        <v>0</v>
      </c>
      <c r="G11" s="25">
        <f t="shared" si="0"/>
        <v>0</v>
      </c>
    </row>
    <row r="12" spans="1:7" x14ac:dyDescent="0.2">
      <c r="A12" s="14"/>
      <c r="B12" s="19"/>
      <c r="C12" s="11"/>
      <c r="D12" s="14"/>
      <c r="E12" s="24">
        <v>0.5</v>
      </c>
      <c r="F12" s="24">
        <v>26</v>
      </c>
      <c r="G12" s="25">
        <f t="shared" si="0"/>
        <v>0.26</v>
      </c>
    </row>
    <row r="13" spans="1:7" x14ac:dyDescent="0.2">
      <c r="A13" s="14"/>
      <c r="B13" s="19"/>
      <c r="C13" s="11"/>
      <c r="D13" s="14"/>
      <c r="E13" s="24">
        <v>1</v>
      </c>
      <c r="F13" s="24">
        <v>45</v>
      </c>
      <c r="G13" s="25">
        <f t="shared" si="0"/>
        <v>0.45</v>
      </c>
    </row>
    <row r="14" spans="1:7" x14ac:dyDescent="0.2">
      <c r="A14" s="14"/>
      <c r="B14" s="19"/>
      <c r="C14" s="11"/>
      <c r="D14" s="14"/>
      <c r="E14" s="24">
        <v>1.5</v>
      </c>
      <c r="F14" s="24">
        <v>50</v>
      </c>
      <c r="G14" s="25">
        <f t="shared" si="0"/>
        <v>0.5</v>
      </c>
    </row>
    <row r="15" spans="1:7" x14ac:dyDescent="0.2">
      <c r="A15" s="14"/>
      <c r="B15" s="19"/>
      <c r="C15" s="11"/>
      <c r="D15" s="14"/>
      <c r="E15" s="24">
        <v>2</v>
      </c>
      <c r="F15" s="24">
        <v>45</v>
      </c>
      <c r="G15" s="25">
        <f t="shared" si="0"/>
        <v>0.45</v>
      </c>
    </row>
    <row r="16" spans="1:7" x14ac:dyDescent="0.2">
      <c r="A16" s="14"/>
      <c r="B16" s="19"/>
      <c r="C16" s="11"/>
      <c r="D16" s="14"/>
      <c r="E16" s="24">
        <v>2.5</v>
      </c>
      <c r="F16" s="24">
        <v>30</v>
      </c>
      <c r="G16" s="25">
        <f t="shared" si="0"/>
        <v>0.3</v>
      </c>
    </row>
    <row r="17" spans="1:7" x14ac:dyDescent="0.2">
      <c r="A17" s="14"/>
      <c r="B17" s="19"/>
      <c r="C17" s="11"/>
      <c r="D17" s="14"/>
      <c r="E17" s="24">
        <v>3</v>
      </c>
      <c r="F17" s="24">
        <v>14</v>
      </c>
      <c r="G17" s="25">
        <f t="shared" si="0"/>
        <v>0.14000000000000001</v>
      </c>
    </row>
    <row r="18" spans="1:7" x14ac:dyDescent="0.2">
      <c r="A18" s="14"/>
      <c r="B18" s="19"/>
      <c r="C18" s="11"/>
      <c r="D18" s="14"/>
      <c r="E18" s="24">
        <v>3.5</v>
      </c>
      <c r="F18" s="24">
        <v>0</v>
      </c>
      <c r="G18" s="25">
        <f t="shared" si="0"/>
        <v>0</v>
      </c>
    </row>
    <row r="19" spans="1:7" x14ac:dyDescent="0.2">
      <c r="A19" s="14"/>
      <c r="B19" s="19"/>
      <c r="C19" s="10">
        <v>2</v>
      </c>
      <c r="D19" s="13">
        <v>4.7</v>
      </c>
      <c r="E19" s="24">
        <v>0</v>
      </c>
      <c r="F19" s="24">
        <v>0</v>
      </c>
      <c r="G19" s="25">
        <f t="shared" si="0"/>
        <v>0</v>
      </c>
    </row>
    <row r="20" spans="1:7" x14ac:dyDescent="0.2">
      <c r="A20" s="14"/>
      <c r="B20" s="19"/>
      <c r="C20" s="11"/>
      <c r="D20" s="14"/>
      <c r="E20" s="24">
        <v>0.5</v>
      </c>
      <c r="F20" s="24">
        <v>30</v>
      </c>
      <c r="G20" s="25">
        <f t="shared" si="0"/>
        <v>0.3</v>
      </c>
    </row>
    <row r="21" spans="1:7" x14ac:dyDescent="0.2">
      <c r="A21" s="14"/>
      <c r="B21" s="19"/>
      <c r="C21" s="11"/>
      <c r="D21" s="14"/>
      <c r="E21" s="24">
        <v>1</v>
      </c>
      <c r="F21" s="24">
        <v>52</v>
      </c>
      <c r="G21" s="25">
        <f t="shared" si="0"/>
        <v>0.52</v>
      </c>
    </row>
    <row r="22" spans="1:7" x14ac:dyDescent="0.2">
      <c r="A22" s="14"/>
      <c r="B22" s="19"/>
      <c r="C22" s="11"/>
      <c r="D22" s="14"/>
      <c r="E22" s="24">
        <v>1.5</v>
      </c>
      <c r="F22" s="24">
        <v>53</v>
      </c>
      <c r="G22" s="25">
        <f t="shared" si="0"/>
        <v>0.53</v>
      </c>
    </row>
    <row r="23" spans="1:7" x14ac:dyDescent="0.2">
      <c r="A23" s="14"/>
      <c r="B23" s="19"/>
      <c r="C23" s="11"/>
      <c r="D23" s="14"/>
      <c r="E23" s="24">
        <v>2</v>
      </c>
      <c r="F23" s="24">
        <v>47</v>
      </c>
      <c r="G23" s="25">
        <f t="shared" si="0"/>
        <v>0.47</v>
      </c>
    </row>
    <row r="24" spans="1:7" x14ac:dyDescent="0.2">
      <c r="A24" s="14"/>
      <c r="B24" s="19"/>
      <c r="C24" s="11"/>
      <c r="D24" s="14"/>
      <c r="E24" s="24">
        <v>2.5</v>
      </c>
      <c r="F24" s="24">
        <v>42</v>
      </c>
      <c r="G24" s="25">
        <f t="shared" si="0"/>
        <v>0.42</v>
      </c>
    </row>
    <row r="25" spans="1:7" x14ac:dyDescent="0.2">
      <c r="A25" s="14"/>
      <c r="B25" s="19"/>
      <c r="C25" s="11"/>
      <c r="D25" s="14"/>
      <c r="E25" s="24">
        <v>3</v>
      </c>
      <c r="F25" s="24">
        <v>38</v>
      </c>
      <c r="G25" s="25">
        <f t="shared" si="0"/>
        <v>0.38</v>
      </c>
    </row>
    <row r="26" spans="1:7" x14ac:dyDescent="0.2">
      <c r="A26" s="14"/>
      <c r="B26" s="19"/>
      <c r="C26" s="11"/>
      <c r="D26" s="14"/>
      <c r="E26" s="24">
        <v>3.5</v>
      </c>
      <c r="F26" s="24">
        <v>28</v>
      </c>
      <c r="G26" s="25">
        <f t="shared" si="0"/>
        <v>0.28000000000000003</v>
      </c>
    </row>
    <row r="27" spans="1:7" x14ac:dyDescent="0.2">
      <c r="A27" s="14"/>
      <c r="B27" s="19"/>
      <c r="C27" s="11"/>
      <c r="D27" s="14"/>
      <c r="E27" s="24">
        <v>4</v>
      </c>
      <c r="F27" s="24">
        <v>20</v>
      </c>
      <c r="G27" s="25">
        <f t="shared" si="0"/>
        <v>0.2</v>
      </c>
    </row>
    <row r="28" spans="1:7" x14ac:dyDescent="0.2">
      <c r="A28" s="14"/>
      <c r="B28" s="19"/>
      <c r="C28" s="11"/>
      <c r="D28" s="14"/>
      <c r="E28" s="24">
        <v>4.5</v>
      </c>
      <c r="F28" s="24">
        <v>7</v>
      </c>
      <c r="G28" s="25">
        <f t="shared" si="0"/>
        <v>7.0000000000000007E-2</v>
      </c>
    </row>
    <row r="29" spans="1:7" x14ac:dyDescent="0.2">
      <c r="A29" s="14"/>
      <c r="B29" s="19"/>
      <c r="C29" s="12"/>
      <c r="D29" s="15"/>
      <c r="E29" s="24">
        <v>4.7</v>
      </c>
      <c r="F29" s="24">
        <v>0</v>
      </c>
      <c r="G29" s="25">
        <f t="shared" si="0"/>
        <v>0</v>
      </c>
    </row>
    <row r="30" spans="1:7" x14ac:dyDescent="0.2">
      <c r="A30" s="14"/>
      <c r="B30" s="19"/>
      <c r="C30" s="16">
        <v>3</v>
      </c>
      <c r="D30" s="13">
        <v>4.0999999999999996</v>
      </c>
      <c r="E30" s="24">
        <v>0</v>
      </c>
      <c r="F30" s="24">
        <v>0</v>
      </c>
      <c r="G30" s="25">
        <f t="shared" ref="G30:G31" si="1">F31/100</f>
        <v>0.22</v>
      </c>
    </row>
    <row r="31" spans="1:7" x14ac:dyDescent="0.2">
      <c r="A31" s="14"/>
      <c r="B31" s="19"/>
      <c r="C31" s="17"/>
      <c r="D31" s="14"/>
      <c r="E31" s="24">
        <v>0.5</v>
      </c>
      <c r="F31" s="24">
        <v>22</v>
      </c>
      <c r="G31" s="25">
        <f t="shared" si="1"/>
        <v>0.32</v>
      </c>
    </row>
    <row r="32" spans="1:7" x14ac:dyDescent="0.2">
      <c r="A32" s="14"/>
      <c r="B32" s="19"/>
      <c r="C32" s="17"/>
      <c r="D32" s="14"/>
      <c r="E32" s="24">
        <v>1</v>
      </c>
      <c r="F32" s="24">
        <v>32</v>
      </c>
      <c r="G32" s="25">
        <f t="shared" ref="G32:G66" si="2">F32/100</f>
        <v>0.32</v>
      </c>
    </row>
    <row r="33" spans="1:7" x14ac:dyDescent="0.2">
      <c r="A33" s="14"/>
      <c r="B33" s="19"/>
      <c r="C33" s="17"/>
      <c r="D33" s="14"/>
      <c r="E33" s="24">
        <v>1.5</v>
      </c>
      <c r="F33" s="24">
        <v>32</v>
      </c>
      <c r="G33" s="25">
        <f t="shared" si="2"/>
        <v>0.32</v>
      </c>
    </row>
    <row r="34" spans="1:7" x14ac:dyDescent="0.2">
      <c r="A34" s="14"/>
      <c r="B34" s="19"/>
      <c r="C34" s="17"/>
      <c r="D34" s="14"/>
      <c r="E34" s="24">
        <v>2</v>
      </c>
      <c r="F34" s="24">
        <v>30</v>
      </c>
      <c r="G34" s="25">
        <f t="shared" si="2"/>
        <v>0.3</v>
      </c>
    </row>
    <row r="35" spans="1:7" x14ac:dyDescent="0.2">
      <c r="A35" s="14"/>
      <c r="B35" s="19"/>
      <c r="C35" s="17"/>
      <c r="D35" s="14"/>
      <c r="E35" s="24">
        <v>2.5</v>
      </c>
      <c r="F35" s="24">
        <v>23</v>
      </c>
      <c r="G35" s="25">
        <f t="shared" si="2"/>
        <v>0.23</v>
      </c>
    </row>
    <row r="36" spans="1:7" x14ac:dyDescent="0.2">
      <c r="A36" s="14"/>
      <c r="B36" s="19"/>
      <c r="C36" s="17"/>
      <c r="D36" s="14"/>
      <c r="E36" s="24">
        <v>3</v>
      </c>
      <c r="F36" s="24">
        <v>18</v>
      </c>
      <c r="G36" s="25">
        <f t="shared" si="2"/>
        <v>0.18</v>
      </c>
    </row>
    <row r="37" spans="1:7" x14ac:dyDescent="0.2">
      <c r="A37" s="14"/>
      <c r="B37" s="19"/>
      <c r="C37" s="17"/>
      <c r="D37" s="14"/>
      <c r="E37" s="24">
        <v>3.5</v>
      </c>
      <c r="F37" s="24">
        <v>13</v>
      </c>
      <c r="G37" s="25">
        <f t="shared" si="2"/>
        <v>0.13</v>
      </c>
    </row>
    <row r="38" spans="1:7" x14ac:dyDescent="0.2">
      <c r="A38" s="14"/>
      <c r="B38" s="19"/>
      <c r="C38" s="17"/>
      <c r="D38" s="14"/>
      <c r="E38" s="24">
        <v>4</v>
      </c>
      <c r="F38" s="24">
        <v>3</v>
      </c>
      <c r="G38" s="25">
        <f t="shared" si="2"/>
        <v>0.03</v>
      </c>
    </row>
    <row r="39" spans="1:7" x14ac:dyDescent="0.2">
      <c r="A39" s="14"/>
      <c r="B39" s="19"/>
      <c r="C39" s="18"/>
      <c r="D39" s="15"/>
      <c r="E39" s="24">
        <v>4.0999999999999996</v>
      </c>
      <c r="F39" s="24">
        <v>0</v>
      </c>
      <c r="G39" s="25">
        <f t="shared" si="2"/>
        <v>0</v>
      </c>
    </row>
    <row r="40" spans="1:7" ht="16" customHeight="1" x14ac:dyDescent="0.2">
      <c r="A40" s="14"/>
      <c r="B40" s="19"/>
      <c r="C40" s="10" t="s">
        <v>8</v>
      </c>
      <c r="D40" s="13">
        <v>6</v>
      </c>
      <c r="E40" s="24">
        <v>0</v>
      </c>
      <c r="F40" s="24">
        <v>0</v>
      </c>
      <c r="G40" s="25">
        <f t="shared" si="2"/>
        <v>0</v>
      </c>
    </row>
    <row r="41" spans="1:7" x14ac:dyDescent="0.2">
      <c r="A41" s="14"/>
      <c r="B41" s="19"/>
      <c r="C41" s="28"/>
      <c r="D41" s="29"/>
      <c r="E41" s="24">
        <v>0.5</v>
      </c>
      <c r="F41" s="24">
        <v>28</v>
      </c>
      <c r="G41" s="25">
        <f t="shared" si="2"/>
        <v>0.28000000000000003</v>
      </c>
    </row>
    <row r="42" spans="1:7" x14ac:dyDescent="0.2">
      <c r="A42" s="14"/>
      <c r="B42" s="19"/>
      <c r="C42" s="28"/>
      <c r="D42" s="29"/>
      <c r="E42" s="24">
        <v>1</v>
      </c>
      <c r="F42" s="24">
        <v>35</v>
      </c>
      <c r="G42" s="25">
        <f t="shared" si="2"/>
        <v>0.35</v>
      </c>
    </row>
    <row r="43" spans="1:7" x14ac:dyDescent="0.2">
      <c r="A43" s="14"/>
      <c r="B43" s="19"/>
      <c r="C43" s="28"/>
      <c r="D43" s="29"/>
      <c r="E43" s="24">
        <v>1.5</v>
      </c>
      <c r="F43" s="24">
        <v>36</v>
      </c>
      <c r="G43" s="25">
        <f t="shared" si="2"/>
        <v>0.36</v>
      </c>
    </row>
    <row r="44" spans="1:7" x14ac:dyDescent="0.2">
      <c r="A44" s="14"/>
      <c r="B44" s="19"/>
      <c r="C44" s="28"/>
      <c r="D44" s="29"/>
      <c r="E44" s="24">
        <v>2</v>
      </c>
      <c r="F44" s="24">
        <v>34</v>
      </c>
      <c r="G44" s="25">
        <f t="shared" si="2"/>
        <v>0.34</v>
      </c>
    </row>
    <row r="45" spans="1:7" x14ac:dyDescent="0.2">
      <c r="A45" s="14"/>
      <c r="B45" s="19"/>
      <c r="C45" s="28"/>
      <c r="D45" s="29"/>
      <c r="E45" s="24">
        <v>2.5</v>
      </c>
      <c r="F45" s="24">
        <v>37</v>
      </c>
      <c r="G45" s="25">
        <f t="shared" si="2"/>
        <v>0.37</v>
      </c>
    </row>
    <row r="46" spans="1:7" x14ac:dyDescent="0.2">
      <c r="A46" s="14"/>
      <c r="B46" s="19"/>
      <c r="C46" s="28"/>
      <c r="D46" s="29"/>
      <c r="E46" s="24">
        <v>3</v>
      </c>
      <c r="F46" s="24">
        <v>40</v>
      </c>
      <c r="G46" s="25">
        <f t="shared" si="2"/>
        <v>0.4</v>
      </c>
    </row>
    <row r="47" spans="1:7" x14ac:dyDescent="0.2">
      <c r="A47" s="14"/>
      <c r="B47" s="19"/>
      <c r="C47" s="28"/>
      <c r="D47" s="29"/>
      <c r="E47" s="24">
        <v>3.5</v>
      </c>
      <c r="F47" s="24">
        <v>42</v>
      </c>
      <c r="G47" s="25">
        <f t="shared" si="2"/>
        <v>0.42</v>
      </c>
    </row>
    <row r="48" spans="1:7" x14ac:dyDescent="0.2">
      <c r="A48" s="14"/>
      <c r="B48" s="19"/>
      <c r="C48" s="28"/>
      <c r="D48" s="29"/>
      <c r="E48" s="24">
        <v>4</v>
      </c>
      <c r="F48" s="24">
        <v>42</v>
      </c>
      <c r="G48" s="25">
        <f t="shared" si="2"/>
        <v>0.42</v>
      </c>
    </row>
    <row r="49" spans="1:7" x14ac:dyDescent="0.2">
      <c r="A49" s="14"/>
      <c r="B49" s="19"/>
      <c r="C49" s="28"/>
      <c r="D49" s="29"/>
      <c r="E49" s="24">
        <v>4.5</v>
      </c>
      <c r="F49" s="24">
        <v>37</v>
      </c>
      <c r="G49" s="25">
        <f t="shared" si="2"/>
        <v>0.37</v>
      </c>
    </row>
    <row r="50" spans="1:7" x14ac:dyDescent="0.2">
      <c r="A50" s="14"/>
      <c r="B50" s="19"/>
      <c r="C50" s="28"/>
      <c r="D50" s="29"/>
      <c r="E50" s="24">
        <v>5</v>
      </c>
      <c r="F50" s="24">
        <v>31</v>
      </c>
      <c r="G50" s="25">
        <f t="shared" si="2"/>
        <v>0.31</v>
      </c>
    </row>
    <row r="51" spans="1:7" x14ac:dyDescent="0.2">
      <c r="A51" s="14"/>
      <c r="B51" s="19"/>
      <c r="C51" s="28"/>
      <c r="D51" s="29"/>
      <c r="E51" s="24">
        <v>5.5</v>
      </c>
      <c r="F51" s="30">
        <v>16</v>
      </c>
      <c r="G51" s="25">
        <f t="shared" si="2"/>
        <v>0.16</v>
      </c>
    </row>
    <row r="52" spans="1:7" x14ac:dyDescent="0.2">
      <c r="A52" s="14"/>
      <c r="B52" s="19"/>
      <c r="C52" s="28"/>
      <c r="D52" s="29"/>
      <c r="E52" s="24">
        <v>6</v>
      </c>
      <c r="F52" s="24">
        <v>0</v>
      </c>
      <c r="G52" s="25">
        <f t="shared" si="2"/>
        <v>0</v>
      </c>
    </row>
    <row r="53" spans="1:7" x14ac:dyDescent="0.2">
      <c r="A53" s="14"/>
      <c r="B53" s="19"/>
      <c r="C53" s="16">
        <v>5</v>
      </c>
      <c r="D53" s="13">
        <v>1</v>
      </c>
      <c r="E53" s="24">
        <v>0</v>
      </c>
      <c r="F53" s="24">
        <v>0</v>
      </c>
      <c r="G53" s="25">
        <f t="shared" si="2"/>
        <v>0</v>
      </c>
    </row>
    <row r="54" spans="1:7" x14ac:dyDescent="0.2">
      <c r="A54" s="14"/>
      <c r="B54" s="19"/>
      <c r="C54" s="31"/>
      <c r="D54" s="29"/>
      <c r="E54" s="24">
        <v>0.2</v>
      </c>
      <c r="F54" s="24">
        <v>8</v>
      </c>
      <c r="G54" s="25">
        <f t="shared" si="2"/>
        <v>0.08</v>
      </c>
    </row>
    <row r="55" spans="1:7" x14ac:dyDescent="0.2">
      <c r="A55" s="14"/>
      <c r="B55" s="19"/>
      <c r="C55" s="31"/>
      <c r="D55" s="29"/>
      <c r="E55" s="24">
        <v>0.4</v>
      </c>
      <c r="F55" s="24">
        <v>8</v>
      </c>
      <c r="G55" s="25">
        <f t="shared" si="2"/>
        <v>0.08</v>
      </c>
    </row>
    <row r="56" spans="1:7" x14ac:dyDescent="0.2">
      <c r="A56" s="14"/>
      <c r="B56" s="19"/>
      <c r="C56" s="31"/>
      <c r="D56" s="29"/>
      <c r="E56" s="24">
        <v>0.6</v>
      </c>
      <c r="F56" s="24">
        <v>6</v>
      </c>
      <c r="G56" s="25">
        <f t="shared" si="2"/>
        <v>0.06</v>
      </c>
    </row>
    <row r="57" spans="1:7" x14ac:dyDescent="0.2">
      <c r="A57" s="14"/>
      <c r="B57" s="19"/>
      <c r="C57" s="31"/>
      <c r="D57" s="29"/>
      <c r="E57" s="24">
        <v>0.8</v>
      </c>
      <c r="F57" s="24">
        <v>4</v>
      </c>
      <c r="G57" s="25">
        <f t="shared" si="2"/>
        <v>0.04</v>
      </c>
    </row>
    <row r="58" spans="1:7" x14ac:dyDescent="0.2">
      <c r="A58" s="14"/>
      <c r="B58" s="19"/>
      <c r="C58" s="31"/>
      <c r="D58" s="29"/>
      <c r="E58" s="24">
        <v>1</v>
      </c>
      <c r="F58" s="24">
        <v>0</v>
      </c>
      <c r="G58" s="25">
        <f t="shared" si="2"/>
        <v>0</v>
      </c>
    </row>
    <row r="59" spans="1:7" x14ac:dyDescent="0.2">
      <c r="A59" s="14"/>
      <c r="B59" s="19"/>
      <c r="C59" s="31">
        <v>6</v>
      </c>
      <c r="D59" s="29">
        <v>1.3</v>
      </c>
      <c r="E59" s="24">
        <v>0</v>
      </c>
      <c r="F59" s="24">
        <v>0</v>
      </c>
      <c r="G59" s="25">
        <f t="shared" si="2"/>
        <v>0</v>
      </c>
    </row>
    <row r="60" spans="1:7" x14ac:dyDescent="0.2">
      <c r="A60" s="14"/>
      <c r="B60" s="19"/>
      <c r="C60" s="31"/>
      <c r="D60" s="29"/>
      <c r="E60" s="30">
        <v>0.2</v>
      </c>
      <c r="F60" s="30">
        <v>3</v>
      </c>
      <c r="G60" s="25">
        <f t="shared" si="2"/>
        <v>0.03</v>
      </c>
    </row>
    <row r="61" spans="1:7" x14ac:dyDescent="0.2">
      <c r="A61" s="14"/>
      <c r="B61" s="19"/>
      <c r="C61" s="31"/>
      <c r="D61" s="29"/>
      <c r="E61" s="24">
        <v>0.4</v>
      </c>
      <c r="F61" s="24">
        <v>10</v>
      </c>
      <c r="G61" s="25">
        <f t="shared" si="2"/>
        <v>0.1</v>
      </c>
    </row>
    <row r="62" spans="1:7" x14ac:dyDescent="0.2">
      <c r="A62" s="14"/>
      <c r="B62" s="19"/>
      <c r="C62" s="31"/>
      <c r="D62" s="29"/>
      <c r="E62" s="24">
        <v>0.6</v>
      </c>
      <c r="F62" s="24">
        <v>10</v>
      </c>
      <c r="G62" s="25">
        <f t="shared" si="2"/>
        <v>0.1</v>
      </c>
    </row>
    <row r="63" spans="1:7" x14ac:dyDescent="0.2">
      <c r="A63" s="14"/>
      <c r="B63" s="19"/>
      <c r="C63" s="31"/>
      <c r="D63" s="29"/>
      <c r="E63" s="24">
        <v>0.8</v>
      </c>
      <c r="F63" s="24">
        <v>11</v>
      </c>
      <c r="G63" s="32">
        <f t="shared" si="2"/>
        <v>0.11</v>
      </c>
    </row>
    <row r="64" spans="1:7" x14ac:dyDescent="0.2">
      <c r="A64" s="14"/>
      <c r="B64" s="19"/>
      <c r="C64" s="31"/>
      <c r="D64" s="29"/>
      <c r="E64" s="23">
        <v>1</v>
      </c>
      <c r="F64" s="24">
        <v>8</v>
      </c>
      <c r="G64" s="32">
        <f t="shared" si="2"/>
        <v>0.08</v>
      </c>
    </row>
    <row r="65" spans="1:8" x14ac:dyDescent="0.2">
      <c r="A65" s="14"/>
      <c r="B65" s="19"/>
      <c r="C65" s="31"/>
      <c r="D65" s="29"/>
      <c r="E65" s="23">
        <v>1.2</v>
      </c>
      <c r="F65" s="24">
        <v>5</v>
      </c>
      <c r="G65" s="32">
        <f t="shared" si="2"/>
        <v>0.05</v>
      </c>
    </row>
    <row r="66" spans="1:8" x14ac:dyDescent="0.2">
      <c r="A66" s="14"/>
      <c r="B66" s="19"/>
      <c r="C66" s="31"/>
      <c r="D66" s="29"/>
      <c r="E66" s="23">
        <v>1.3</v>
      </c>
      <c r="F66" s="24">
        <v>0</v>
      </c>
      <c r="G66" s="32">
        <f t="shared" si="2"/>
        <v>0</v>
      </c>
    </row>
    <row r="67" spans="1:8" x14ac:dyDescent="0.2">
      <c r="A67" s="20"/>
      <c r="B67" s="21"/>
      <c r="E67" s="23"/>
      <c r="F67" s="24"/>
      <c r="G67" s="25"/>
    </row>
    <row r="68" spans="1:8" x14ac:dyDescent="0.2">
      <c r="A68" s="20"/>
      <c r="B68" s="21"/>
      <c r="E68" s="23"/>
      <c r="F68" s="24"/>
      <c r="G68" s="25"/>
    </row>
    <row r="69" spans="1:8" x14ac:dyDescent="0.2">
      <c r="A69" s="20"/>
      <c r="B69" s="21"/>
      <c r="C69" s="22"/>
      <c r="D69" s="20"/>
      <c r="E69" s="23"/>
      <c r="F69" s="24"/>
      <c r="G69" s="25"/>
    </row>
    <row r="70" spans="1:8" x14ac:dyDescent="0.2">
      <c r="A70" s="20"/>
      <c r="B70" s="21"/>
      <c r="C70" s="22"/>
      <c r="D70" s="20"/>
      <c r="E70" s="23"/>
      <c r="F70" s="24"/>
      <c r="G70" s="25"/>
    </row>
    <row r="71" spans="1:8" x14ac:dyDescent="0.2">
      <c r="A71" s="20"/>
      <c r="B71" s="21"/>
      <c r="C71" s="22"/>
      <c r="D71" s="20"/>
      <c r="E71" s="23"/>
      <c r="F71" s="24"/>
      <c r="G71" s="25"/>
    </row>
    <row r="72" spans="1:8" x14ac:dyDescent="0.2">
      <c r="A72" s="25"/>
      <c r="B72" s="26"/>
      <c r="C72" s="22"/>
      <c r="D72" s="20"/>
      <c r="E72" s="26"/>
      <c r="F72" s="8" t="s">
        <v>6</v>
      </c>
      <c r="G72" s="7">
        <f>AVERAGE(G2:G66)</f>
        <v>0.19384615384615378</v>
      </c>
      <c r="H72" t="s">
        <v>10</v>
      </c>
    </row>
    <row r="73" spans="1:8" x14ac:dyDescent="0.2">
      <c r="A73" s="25"/>
      <c r="B73" s="33"/>
      <c r="C73" s="22"/>
      <c r="D73" s="20"/>
      <c r="E73" s="25"/>
    </row>
    <row r="74" spans="1:8" x14ac:dyDescent="0.2">
      <c r="A74" s="25"/>
      <c r="B74" s="33"/>
      <c r="C74" s="22"/>
      <c r="D74" s="20"/>
      <c r="E74" s="25"/>
    </row>
    <row r="75" spans="1:8" x14ac:dyDescent="0.2">
      <c r="A75" s="25"/>
      <c r="B75" s="33"/>
      <c r="C75" s="22"/>
      <c r="D75" s="20"/>
      <c r="E75" s="25"/>
    </row>
    <row r="76" spans="1:8" x14ac:dyDescent="0.2">
      <c r="A76" s="25"/>
      <c r="B76" s="33"/>
      <c r="C76" s="22"/>
      <c r="D76" s="20"/>
      <c r="E76" s="25"/>
    </row>
    <row r="77" spans="1:8" x14ac:dyDescent="0.2">
      <c r="A77" s="25"/>
      <c r="B77" s="33"/>
      <c r="C77" s="22"/>
      <c r="D77" s="20"/>
      <c r="E77" s="25"/>
    </row>
    <row r="78" spans="1:8" x14ac:dyDescent="0.2">
      <c r="A78" s="25"/>
      <c r="B78" s="33"/>
      <c r="C78" s="22"/>
      <c r="D78" s="20"/>
      <c r="E78" s="25"/>
    </row>
    <row r="79" spans="1:8" x14ac:dyDescent="0.2">
      <c r="A79" s="25"/>
      <c r="B79" s="33"/>
      <c r="C79" s="22"/>
      <c r="D79" s="20"/>
      <c r="E79" s="25"/>
    </row>
    <row r="80" spans="1:8" x14ac:dyDescent="0.2">
      <c r="A80" s="25"/>
      <c r="B80" s="33"/>
      <c r="C80" s="26"/>
      <c r="D80" s="26"/>
      <c r="E80" s="25"/>
    </row>
    <row r="81" spans="1:5" x14ac:dyDescent="0.2">
      <c r="A81" s="25"/>
      <c r="B81" s="33"/>
      <c r="C81" s="27"/>
      <c r="D81" s="25"/>
      <c r="E81" s="25"/>
    </row>
    <row r="82" spans="1:5" x14ac:dyDescent="0.2">
      <c r="A82" s="25"/>
      <c r="B82" s="33"/>
      <c r="C82" s="27"/>
      <c r="D82" s="25"/>
      <c r="E82" s="25"/>
    </row>
  </sheetData>
  <mergeCells count="16">
    <mergeCell ref="C40:C52"/>
    <mergeCell ref="D40:D52"/>
    <mergeCell ref="C53:C58"/>
    <mergeCell ref="D53:D58"/>
    <mergeCell ref="D59:D66"/>
    <mergeCell ref="C59:C66"/>
    <mergeCell ref="B2:B66"/>
    <mergeCell ref="A2:A66"/>
    <mergeCell ref="C19:C29"/>
    <mergeCell ref="D19:D29"/>
    <mergeCell ref="C30:C39"/>
    <mergeCell ref="D30:D39"/>
    <mergeCell ref="C2:C10"/>
    <mergeCell ref="D2:D10"/>
    <mergeCell ref="C11:C18"/>
    <mergeCell ref="D11: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Kelly, Michelle Catherine</dc:creator>
  <cp:lastModifiedBy>Kelly, Michelle Catherine</cp:lastModifiedBy>
  <dcterms:created xsi:type="dcterms:W3CDTF">2023-02-15T18:39:02Z</dcterms:created>
  <dcterms:modified xsi:type="dcterms:W3CDTF">2023-04-06T15:28:04Z</dcterms:modified>
</cp:coreProperties>
</file>